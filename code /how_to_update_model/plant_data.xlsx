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fef13235c6602f/Documents/papers/alkane_biomization/code/"/>
    </mc:Choice>
  </mc:AlternateContent>
  <xr:revisionPtr revIDLastSave="851" documentId="8_{CC9B40DF-C1B4-413D-AF9D-16A5D7A9833B}" xr6:coauthVersionLast="47" xr6:coauthVersionMax="47" xr10:uidLastSave="{768E1396-C4D4-49C5-952B-CBB0B54A4559}"/>
  <bookViews>
    <workbookView xWindow="2304" yWindow="2304" windowWidth="17280" windowHeight="9960" xr2:uid="{E8C3DB6C-4554-485F-B13D-B478B51A3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42" i="1" l="1"/>
  <c r="N543" i="1"/>
  <c r="N544" i="1"/>
  <c r="N545" i="1"/>
  <c r="N546" i="1"/>
  <c r="N547" i="1"/>
  <c r="N548" i="1"/>
  <c r="N549" i="1"/>
  <c r="N117" i="1"/>
  <c r="N120" i="1"/>
  <c r="N66" i="1"/>
  <c r="N115" i="1"/>
  <c r="N3" i="1"/>
  <c r="N4" i="1"/>
  <c r="N6" i="1"/>
  <c r="N13" i="1"/>
  <c r="N7" i="1"/>
  <c r="N8" i="1"/>
  <c r="N9" i="1"/>
  <c r="N10" i="1"/>
  <c r="N11" i="1"/>
  <c r="N12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6" i="1"/>
  <c r="N119" i="1"/>
  <c r="N121" i="1"/>
  <c r="N130" i="1"/>
  <c r="N131" i="1"/>
  <c r="N134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8" i="1"/>
  <c r="N169" i="1"/>
  <c r="N170" i="1"/>
  <c r="N171" i="1"/>
  <c r="N172" i="1"/>
  <c r="N173" i="1"/>
  <c r="N174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5" i="1"/>
  <c r="N539" i="1"/>
  <c r="N193" i="1"/>
  <c r="N194" i="1"/>
  <c r="N452" i="1"/>
  <c r="N453" i="1"/>
  <c r="N454" i="1"/>
  <c r="N455" i="1"/>
  <c r="N456" i="1"/>
  <c r="N196" i="1"/>
  <c r="N197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70" i="1"/>
  <c r="N271" i="1"/>
  <c r="N272" i="1"/>
  <c r="N273" i="1"/>
  <c r="N274" i="1"/>
  <c r="N275" i="1"/>
  <c r="N276" i="1"/>
  <c r="N277" i="1"/>
  <c r="N278" i="1"/>
  <c r="N279" i="1"/>
  <c r="N294" i="1"/>
  <c r="N295" i="1"/>
  <c r="N296" i="1"/>
  <c r="N297" i="1"/>
  <c r="N298" i="1"/>
  <c r="N299" i="1"/>
  <c r="N463" i="1"/>
  <c r="N300" i="1"/>
  <c r="N303" i="1"/>
  <c r="N304" i="1"/>
  <c r="N305" i="1"/>
  <c r="N306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51" i="1"/>
  <c r="N352" i="1"/>
  <c r="N353" i="1"/>
  <c r="N354" i="1"/>
  <c r="N355" i="1"/>
  <c r="N356" i="1"/>
  <c r="N357" i="1"/>
  <c r="N358" i="1"/>
  <c r="N359" i="1"/>
  <c r="N360" i="1"/>
  <c r="N361" i="1"/>
  <c r="N371" i="1"/>
  <c r="N372" i="1"/>
  <c r="N373" i="1"/>
  <c r="N374" i="1"/>
  <c r="N375" i="1"/>
  <c r="N376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9" i="1"/>
  <c r="N450" i="1"/>
  <c r="N451" i="1"/>
  <c r="N459" i="1"/>
  <c r="N464" i="1"/>
  <c r="N465" i="1"/>
  <c r="N466" i="1"/>
  <c r="N467" i="1"/>
  <c r="N468" i="1"/>
  <c r="N469" i="1"/>
  <c r="N471" i="1"/>
  <c r="N472" i="1"/>
  <c r="N474" i="1"/>
  <c r="N475" i="1"/>
  <c r="N476" i="1"/>
  <c r="N477" i="1"/>
  <c r="N478" i="1"/>
  <c r="N479" i="1"/>
  <c r="N481" i="1"/>
  <c r="N482" i="1"/>
  <c r="N483" i="1"/>
  <c r="N484" i="1"/>
  <c r="N485" i="1"/>
  <c r="N486" i="1"/>
  <c r="N487" i="1"/>
  <c r="N488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41" i="1"/>
  <c r="N2" i="1"/>
  <c r="H113" i="1"/>
  <c r="H114" i="1"/>
  <c r="G113" i="1"/>
  <c r="G114" i="1"/>
  <c r="F113" i="1"/>
  <c r="F114" i="1"/>
  <c r="E113" i="1"/>
  <c r="E114" i="1"/>
  <c r="D113" i="1"/>
  <c r="D114" i="1"/>
  <c r="D350" i="1"/>
  <c r="E350" i="1"/>
  <c r="F350" i="1"/>
  <c r="G350" i="1"/>
  <c r="H350" i="1"/>
  <c r="D349" i="1"/>
  <c r="E349" i="1"/>
  <c r="F349" i="1"/>
  <c r="G349" i="1"/>
  <c r="H349" i="1"/>
  <c r="D348" i="1"/>
  <c r="E348" i="1"/>
  <c r="F348" i="1"/>
  <c r="G348" i="1"/>
  <c r="H348" i="1"/>
  <c r="D347" i="1"/>
  <c r="E347" i="1"/>
  <c r="F347" i="1"/>
  <c r="G347" i="1"/>
  <c r="H347" i="1"/>
  <c r="D346" i="1"/>
  <c r="E346" i="1"/>
  <c r="F346" i="1"/>
  <c r="G346" i="1"/>
  <c r="H346" i="1"/>
  <c r="D291" i="1"/>
  <c r="E291" i="1"/>
  <c r="F291" i="1"/>
  <c r="G291" i="1"/>
  <c r="H291" i="1"/>
  <c r="D290" i="1"/>
  <c r="E290" i="1"/>
  <c r="F290" i="1"/>
  <c r="G290" i="1"/>
  <c r="H290" i="1"/>
  <c r="D289" i="1"/>
  <c r="E289" i="1"/>
  <c r="F289" i="1"/>
  <c r="G289" i="1"/>
  <c r="H289" i="1"/>
  <c r="D496" i="1"/>
  <c r="E496" i="1"/>
  <c r="F496" i="1"/>
  <c r="G496" i="1"/>
  <c r="H496" i="1"/>
  <c r="D495" i="1"/>
  <c r="E495" i="1"/>
  <c r="F495" i="1"/>
  <c r="G495" i="1"/>
  <c r="H495" i="1"/>
  <c r="D507" i="1"/>
  <c r="E507" i="1"/>
  <c r="F507" i="1"/>
  <c r="G507" i="1"/>
  <c r="H507" i="1"/>
  <c r="D506" i="1"/>
  <c r="E506" i="1"/>
  <c r="F506" i="1"/>
  <c r="G506" i="1"/>
  <c r="H506" i="1"/>
  <c r="D39" i="1"/>
  <c r="E39" i="1"/>
  <c r="F39" i="1"/>
  <c r="G39" i="1"/>
  <c r="H39" i="1"/>
  <c r="D38" i="1"/>
  <c r="E38" i="1"/>
  <c r="F38" i="1"/>
  <c r="G38" i="1"/>
  <c r="H38" i="1"/>
  <c r="D37" i="1"/>
  <c r="E37" i="1"/>
  <c r="F37" i="1"/>
  <c r="G37" i="1"/>
  <c r="H37" i="1"/>
  <c r="D36" i="1"/>
  <c r="E36" i="1"/>
  <c r="F36" i="1"/>
  <c r="G36" i="1"/>
  <c r="H36" i="1"/>
  <c r="D35" i="1"/>
  <c r="E35" i="1"/>
  <c r="F35" i="1"/>
  <c r="G35" i="1"/>
  <c r="H35" i="1"/>
  <c r="D34" i="1"/>
  <c r="E34" i="1"/>
  <c r="F34" i="1"/>
  <c r="G34" i="1"/>
  <c r="H34" i="1"/>
  <c r="D33" i="1"/>
  <c r="E33" i="1"/>
  <c r="F33" i="1"/>
  <c r="G33" i="1"/>
  <c r="H33" i="1"/>
  <c r="D32" i="1"/>
  <c r="E32" i="1"/>
  <c r="F32" i="1"/>
  <c r="G32" i="1"/>
  <c r="H32" i="1"/>
  <c r="D31" i="1"/>
  <c r="E31" i="1"/>
  <c r="F31" i="1"/>
  <c r="G31" i="1"/>
  <c r="H31" i="1"/>
  <c r="D288" i="1"/>
  <c r="E288" i="1"/>
  <c r="F288" i="1"/>
  <c r="G288" i="1"/>
  <c r="H288" i="1"/>
  <c r="D287" i="1"/>
  <c r="E287" i="1"/>
  <c r="F287" i="1"/>
  <c r="G287" i="1"/>
  <c r="H287" i="1"/>
  <c r="D286" i="1"/>
  <c r="E286" i="1"/>
  <c r="F286" i="1"/>
  <c r="G286" i="1"/>
  <c r="H286" i="1"/>
  <c r="D285" i="1"/>
  <c r="E285" i="1"/>
  <c r="F285" i="1"/>
  <c r="G285" i="1"/>
  <c r="H285" i="1"/>
  <c r="D284" i="1"/>
  <c r="E284" i="1"/>
  <c r="F284" i="1"/>
  <c r="G284" i="1"/>
  <c r="H284" i="1"/>
  <c r="D283" i="1"/>
  <c r="E283" i="1"/>
  <c r="F283" i="1"/>
  <c r="G283" i="1"/>
  <c r="H283" i="1"/>
  <c r="D282" i="1"/>
  <c r="E282" i="1"/>
  <c r="F282" i="1"/>
  <c r="G282" i="1"/>
  <c r="H282" i="1"/>
  <c r="D281" i="1"/>
  <c r="E281" i="1"/>
  <c r="F281" i="1"/>
  <c r="G281" i="1"/>
  <c r="H281" i="1"/>
  <c r="D280" i="1"/>
  <c r="E280" i="1"/>
  <c r="F280" i="1"/>
  <c r="G280" i="1"/>
  <c r="H280" i="1"/>
  <c r="D505" i="1"/>
  <c r="E505" i="1"/>
  <c r="F505" i="1"/>
  <c r="G505" i="1"/>
  <c r="H505" i="1"/>
  <c r="D504" i="1"/>
  <c r="E504" i="1"/>
  <c r="F504" i="1"/>
  <c r="G504" i="1"/>
  <c r="H504" i="1"/>
  <c r="D503" i="1"/>
  <c r="E503" i="1"/>
  <c r="F503" i="1"/>
  <c r="G503" i="1"/>
  <c r="H503" i="1"/>
  <c r="D502" i="1"/>
  <c r="E502" i="1"/>
  <c r="F502" i="1"/>
  <c r="G502" i="1"/>
  <c r="H502" i="1"/>
  <c r="D501" i="1"/>
  <c r="E501" i="1"/>
  <c r="F501" i="1"/>
  <c r="G501" i="1"/>
  <c r="H501" i="1"/>
  <c r="D500" i="1"/>
  <c r="E500" i="1"/>
  <c r="F500" i="1"/>
  <c r="G500" i="1"/>
  <c r="H500" i="1"/>
  <c r="D499" i="1"/>
  <c r="E499" i="1"/>
  <c r="F499" i="1"/>
  <c r="G499" i="1"/>
  <c r="H499" i="1"/>
  <c r="D498" i="1"/>
  <c r="E498" i="1"/>
  <c r="F498" i="1"/>
  <c r="G498" i="1"/>
  <c r="H498" i="1"/>
  <c r="D497" i="1"/>
  <c r="E497" i="1"/>
  <c r="F497" i="1"/>
  <c r="G497" i="1"/>
  <c r="H497" i="1"/>
  <c r="D494" i="1"/>
  <c r="E494" i="1"/>
  <c r="F494" i="1"/>
  <c r="G494" i="1"/>
  <c r="H494" i="1"/>
  <c r="D493" i="1"/>
  <c r="E493" i="1"/>
  <c r="F493" i="1"/>
  <c r="G493" i="1"/>
  <c r="H493" i="1"/>
  <c r="D492" i="1"/>
  <c r="E492" i="1"/>
  <c r="F492" i="1"/>
  <c r="G492" i="1"/>
  <c r="H492" i="1"/>
  <c r="D491" i="1"/>
  <c r="E491" i="1"/>
  <c r="F491" i="1"/>
  <c r="G491" i="1"/>
  <c r="H491" i="1"/>
  <c r="D490" i="1"/>
  <c r="E490" i="1"/>
  <c r="F490" i="1"/>
  <c r="G490" i="1"/>
  <c r="H490" i="1"/>
  <c r="D489" i="1"/>
  <c r="E489" i="1"/>
  <c r="F489" i="1"/>
  <c r="G489" i="1"/>
  <c r="H489" i="1"/>
  <c r="H118" i="1"/>
  <c r="H448" i="1"/>
  <c r="H370" i="1"/>
  <c r="H293" i="1"/>
  <c r="H345" i="1"/>
  <c r="G118" i="1"/>
  <c r="G448" i="1"/>
  <c r="G370" i="1"/>
  <c r="G293" i="1"/>
  <c r="G345" i="1"/>
  <c r="F118" i="1"/>
  <c r="F448" i="1"/>
  <c r="F370" i="1"/>
  <c r="F293" i="1"/>
  <c r="F345" i="1"/>
  <c r="E118" i="1"/>
  <c r="E448" i="1"/>
  <c r="E370" i="1"/>
  <c r="E293" i="1"/>
  <c r="E345" i="1"/>
  <c r="D118" i="1"/>
  <c r="D448" i="1"/>
  <c r="D370" i="1"/>
  <c r="D293" i="1"/>
  <c r="D345" i="1"/>
  <c r="E269" i="1"/>
  <c r="F269" i="1"/>
  <c r="G269" i="1"/>
  <c r="H269" i="1"/>
  <c r="D269" i="1"/>
  <c r="H460" i="1"/>
  <c r="H307" i="1"/>
  <c r="H364" i="1"/>
  <c r="H302" i="1"/>
  <c r="H461" i="1"/>
  <c r="H462" i="1"/>
  <c r="H363" i="1"/>
  <c r="H362" i="1"/>
  <c r="H292" i="1"/>
  <c r="H167" i="1"/>
  <c r="G460" i="1"/>
  <c r="G307" i="1"/>
  <c r="G364" i="1"/>
  <c r="G302" i="1"/>
  <c r="G461" i="1"/>
  <c r="G462" i="1"/>
  <c r="G363" i="1"/>
  <c r="G362" i="1"/>
  <c r="G292" i="1"/>
  <c r="G167" i="1"/>
  <c r="F460" i="1"/>
  <c r="F307" i="1"/>
  <c r="F364" i="1"/>
  <c r="F302" i="1"/>
  <c r="F461" i="1"/>
  <c r="F462" i="1"/>
  <c r="F363" i="1"/>
  <c r="F362" i="1"/>
  <c r="F292" i="1"/>
  <c r="F167" i="1"/>
  <c r="E460" i="1"/>
  <c r="E307" i="1"/>
  <c r="E364" i="1"/>
  <c r="E302" i="1"/>
  <c r="E461" i="1"/>
  <c r="E462" i="1"/>
  <c r="E363" i="1"/>
  <c r="E362" i="1"/>
  <c r="E292" i="1"/>
  <c r="E167" i="1"/>
  <c r="D460" i="1"/>
  <c r="D307" i="1"/>
  <c r="D364" i="1"/>
  <c r="D302" i="1"/>
  <c r="D461" i="1"/>
  <c r="D462" i="1"/>
  <c r="D363" i="1"/>
  <c r="D362" i="1"/>
  <c r="D292" i="1"/>
  <c r="D167" i="1"/>
  <c r="D301" i="1"/>
  <c r="E301" i="1"/>
  <c r="F301" i="1"/>
  <c r="G301" i="1"/>
  <c r="H301" i="1"/>
  <c r="H176" i="1"/>
  <c r="H175" i="1"/>
  <c r="H129" i="1"/>
  <c r="H128" i="1"/>
  <c r="H127" i="1"/>
  <c r="H123" i="1"/>
  <c r="H126" i="1"/>
  <c r="H124" i="1"/>
  <c r="H125" i="1"/>
  <c r="H122" i="1"/>
  <c r="H365" i="1"/>
  <c r="H366" i="1"/>
  <c r="H368" i="1"/>
  <c r="H367" i="1"/>
  <c r="H369" i="1"/>
  <c r="H409" i="1"/>
  <c r="G176" i="1"/>
  <c r="G175" i="1"/>
  <c r="G129" i="1"/>
  <c r="G128" i="1"/>
  <c r="G127" i="1"/>
  <c r="G123" i="1"/>
  <c r="G126" i="1"/>
  <c r="G124" i="1"/>
  <c r="G125" i="1"/>
  <c r="G122" i="1"/>
  <c r="G365" i="1"/>
  <c r="G366" i="1"/>
  <c r="G368" i="1"/>
  <c r="G367" i="1"/>
  <c r="G369" i="1"/>
  <c r="G409" i="1"/>
  <c r="F176" i="1"/>
  <c r="F175" i="1"/>
  <c r="F129" i="1"/>
  <c r="F128" i="1"/>
  <c r="F127" i="1"/>
  <c r="F123" i="1"/>
  <c r="F126" i="1"/>
  <c r="F124" i="1"/>
  <c r="F125" i="1"/>
  <c r="F122" i="1"/>
  <c r="F365" i="1"/>
  <c r="F366" i="1"/>
  <c r="F368" i="1"/>
  <c r="F367" i="1"/>
  <c r="F369" i="1"/>
  <c r="F409" i="1"/>
  <c r="E176" i="1"/>
  <c r="E175" i="1"/>
  <c r="E129" i="1"/>
  <c r="E128" i="1"/>
  <c r="E127" i="1"/>
  <c r="E123" i="1"/>
  <c r="E126" i="1"/>
  <c r="E124" i="1"/>
  <c r="E125" i="1"/>
  <c r="E122" i="1"/>
  <c r="E365" i="1"/>
  <c r="E366" i="1"/>
  <c r="E368" i="1"/>
  <c r="E367" i="1"/>
  <c r="E369" i="1"/>
  <c r="E409" i="1"/>
  <c r="D176" i="1"/>
  <c r="D175" i="1"/>
  <c r="D129" i="1"/>
  <c r="D128" i="1"/>
  <c r="D127" i="1"/>
  <c r="D123" i="1"/>
  <c r="D126" i="1"/>
  <c r="N126" i="1" s="1"/>
  <c r="D124" i="1"/>
  <c r="D125" i="1"/>
  <c r="D122" i="1"/>
  <c r="N122" i="1" s="1"/>
  <c r="D365" i="1"/>
  <c r="D366" i="1"/>
  <c r="N366" i="1" s="1"/>
  <c r="D368" i="1"/>
  <c r="D367" i="1"/>
  <c r="D369" i="1"/>
  <c r="D409" i="1"/>
  <c r="E177" i="1"/>
  <c r="F177" i="1"/>
  <c r="G177" i="1"/>
  <c r="H177" i="1"/>
  <c r="D177" i="1"/>
  <c r="H254" i="1"/>
  <c r="H198" i="1"/>
  <c r="H133" i="1"/>
  <c r="H132" i="1"/>
  <c r="H480" i="1"/>
  <c r="H473" i="1"/>
  <c r="H377" i="1"/>
  <c r="H5" i="1"/>
  <c r="H199" i="1"/>
  <c r="H200" i="1"/>
  <c r="H201" i="1"/>
  <c r="H540" i="1"/>
  <c r="H470" i="1"/>
  <c r="H458" i="1"/>
  <c r="H136" i="1"/>
  <c r="H457" i="1"/>
  <c r="H135" i="1"/>
  <c r="G254" i="1"/>
  <c r="G198" i="1"/>
  <c r="G133" i="1"/>
  <c r="G132" i="1"/>
  <c r="G480" i="1"/>
  <c r="G473" i="1"/>
  <c r="G377" i="1"/>
  <c r="G5" i="1"/>
  <c r="G199" i="1"/>
  <c r="G200" i="1"/>
  <c r="G201" i="1"/>
  <c r="G540" i="1"/>
  <c r="G470" i="1"/>
  <c r="G458" i="1"/>
  <c r="G136" i="1"/>
  <c r="G457" i="1"/>
  <c r="G135" i="1"/>
  <c r="F254" i="1"/>
  <c r="F198" i="1"/>
  <c r="F133" i="1"/>
  <c r="F132" i="1"/>
  <c r="F480" i="1"/>
  <c r="F473" i="1"/>
  <c r="F377" i="1"/>
  <c r="F5" i="1"/>
  <c r="F199" i="1"/>
  <c r="F200" i="1"/>
  <c r="F201" i="1"/>
  <c r="F540" i="1"/>
  <c r="F470" i="1"/>
  <c r="F458" i="1"/>
  <c r="F136" i="1"/>
  <c r="F457" i="1"/>
  <c r="F135" i="1"/>
  <c r="E254" i="1"/>
  <c r="E198" i="1"/>
  <c r="E133" i="1"/>
  <c r="E132" i="1"/>
  <c r="E480" i="1"/>
  <c r="E473" i="1"/>
  <c r="E377" i="1"/>
  <c r="E5" i="1"/>
  <c r="E199" i="1"/>
  <c r="E200" i="1"/>
  <c r="E201" i="1"/>
  <c r="E540" i="1"/>
  <c r="E470" i="1"/>
  <c r="E458" i="1"/>
  <c r="E136" i="1"/>
  <c r="E457" i="1"/>
  <c r="E135" i="1"/>
  <c r="E255" i="1"/>
  <c r="F255" i="1"/>
  <c r="G255" i="1"/>
  <c r="H255" i="1"/>
  <c r="D254" i="1"/>
  <c r="D198" i="1"/>
  <c r="D133" i="1"/>
  <c r="D132" i="1"/>
  <c r="D480" i="1"/>
  <c r="D473" i="1"/>
  <c r="D377" i="1"/>
  <c r="D5" i="1"/>
  <c r="D199" i="1"/>
  <c r="D200" i="1"/>
  <c r="D201" i="1"/>
  <c r="D540" i="1"/>
  <c r="D470" i="1"/>
  <c r="D458" i="1"/>
  <c r="D136" i="1"/>
  <c r="D457" i="1"/>
  <c r="D135" i="1"/>
  <c r="D255" i="1"/>
  <c r="N123" i="1" l="1"/>
  <c r="N368" i="1"/>
  <c r="N367" i="1"/>
  <c r="N365" i="1"/>
  <c r="N125" i="1"/>
  <c r="N458" i="1"/>
  <c r="N369" i="1"/>
  <c r="N199" i="1"/>
  <c r="N269" i="1"/>
  <c r="N461" i="1"/>
  <c r="N5" i="1"/>
  <c r="N124" i="1"/>
  <c r="N176" i="1"/>
  <c r="N495" i="1"/>
  <c r="N284" i="1"/>
  <c r="N36" i="1"/>
  <c r="N348" i="1"/>
  <c r="N377" i="1"/>
  <c r="N33" i="1"/>
  <c r="N480" i="1"/>
  <c r="N504" i="1"/>
  <c r="N133" i="1"/>
  <c r="N198" i="1"/>
  <c r="N501" i="1"/>
  <c r="N132" i="1"/>
  <c r="N255" i="1"/>
  <c r="N127" i="1"/>
  <c r="N128" i="1"/>
  <c r="N291" i="1"/>
  <c r="N285" i="1"/>
  <c r="N496" i="1"/>
  <c r="N282" i="1"/>
  <c r="N506" i="1"/>
  <c r="N409" i="1"/>
  <c r="N118" i="1"/>
  <c r="N34" i="1"/>
  <c r="N494" i="1"/>
  <c r="N31" i="1"/>
  <c r="N289" i="1"/>
  <c r="N135" i="1"/>
  <c r="N493" i="1"/>
  <c r="N114" i="1"/>
  <c r="N349" i="1"/>
  <c r="N293" i="1"/>
  <c r="N499" i="1"/>
  <c r="N286" i="1"/>
  <c r="N346" i="1"/>
  <c r="N254" i="1"/>
  <c r="N457" i="1"/>
  <c r="N473" i="1"/>
  <c r="N462" i="1"/>
  <c r="N167" i="1"/>
  <c r="N302" i="1"/>
  <c r="N448" i="1"/>
  <c r="N491" i="1"/>
  <c r="N503" i="1"/>
  <c r="N283" i="1"/>
  <c r="N35" i="1"/>
  <c r="N507" i="1"/>
  <c r="N350" i="1"/>
  <c r="N498" i="1"/>
  <c r="N175" i="1"/>
  <c r="N490" i="1"/>
  <c r="N37" i="1"/>
  <c r="N301" i="1"/>
  <c r="N280" i="1"/>
  <c r="N497" i="1"/>
  <c r="N287" i="1"/>
  <c r="N290" i="1"/>
  <c r="N288" i="1"/>
  <c r="N129" i="1"/>
  <c r="N345" i="1"/>
  <c r="N136" i="1"/>
  <c r="N38" i="1"/>
  <c r="N470" i="1"/>
  <c r="N292" i="1"/>
  <c r="N500" i="1"/>
  <c r="N32" i="1"/>
  <c r="N347" i="1"/>
  <c r="N364" i="1"/>
  <c r="N370" i="1"/>
  <c r="N502" i="1"/>
  <c r="N113" i="1"/>
  <c r="N201" i="1"/>
  <c r="N363" i="1"/>
  <c r="N492" i="1"/>
  <c r="N307" i="1"/>
  <c r="N177" i="1"/>
  <c r="N460" i="1"/>
  <c r="N505" i="1"/>
  <c r="N540" i="1"/>
  <c r="N362" i="1"/>
  <c r="N200" i="1"/>
  <c r="N489" i="1"/>
  <c r="N281" i="1"/>
  <c r="N39" i="1"/>
</calcChain>
</file>

<file path=xl/sharedStrings.xml><?xml version="1.0" encoding="utf-8"?>
<sst xmlns="http://schemas.openxmlformats.org/spreadsheetml/2006/main" count="1155" uniqueCount="195">
  <si>
    <t>Taxa</t>
  </si>
  <si>
    <t>Plant Functional Type 1</t>
  </si>
  <si>
    <t>Plant Functional Type 2</t>
  </si>
  <si>
    <t>fC23</t>
  </si>
  <si>
    <t>fC25</t>
  </si>
  <si>
    <t>fC27</t>
  </si>
  <si>
    <t>fC29</t>
  </si>
  <si>
    <t>fC31</t>
  </si>
  <si>
    <t>conc_C23</t>
  </si>
  <si>
    <t>conc_C25</t>
  </si>
  <si>
    <t>conc_C27</t>
  </si>
  <si>
    <t>conc_C29</t>
  </si>
  <si>
    <t>conc_C31</t>
  </si>
  <si>
    <t>lichen</t>
  </si>
  <si>
    <t>Alnus viridis</t>
  </si>
  <si>
    <t>shrub</t>
  </si>
  <si>
    <t>tree</t>
  </si>
  <si>
    <t>Andreaea blytti</t>
  </si>
  <si>
    <t>moss</t>
  </si>
  <si>
    <t>Andreaea rupestris</t>
  </si>
  <si>
    <t>Andromeda polifolia</t>
  </si>
  <si>
    <t>Anthelia juratzkana</t>
  </si>
  <si>
    <t>liverwort</t>
  </si>
  <si>
    <t>Arctostaphylos rubra</t>
  </si>
  <si>
    <t>Aulacomnium palustre</t>
  </si>
  <si>
    <t>Aulacomnium turgidum</t>
  </si>
  <si>
    <t>Betula glandulosa</t>
  </si>
  <si>
    <t>Betula nana</t>
  </si>
  <si>
    <t>Betula pubescens</t>
  </si>
  <si>
    <t>Bryum cryophyllum</t>
  </si>
  <si>
    <t>Calamagrostis lapponica</t>
  </si>
  <si>
    <t>graminoid</t>
  </si>
  <si>
    <t>Calliergon sarmentosum</t>
  </si>
  <si>
    <t>Campanula rotundifolia</t>
  </si>
  <si>
    <t>forb</t>
  </si>
  <si>
    <t>Carex bigelowii</t>
  </si>
  <si>
    <t>Carex fuliginosa</t>
  </si>
  <si>
    <t>Carex lenticularis</t>
  </si>
  <si>
    <t>Carex membranacea</t>
  </si>
  <si>
    <t>Carex rariflora</t>
  </si>
  <si>
    <t>Carex rostrata</t>
  </si>
  <si>
    <t>Carex scirpoidea</t>
  </si>
  <si>
    <t>Carex stans</t>
  </si>
  <si>
    <t>Carex stylosa</t>
  </si>
  <si>
    <t>Cassiope tetragona</t>
  </si>
  <si>
    <t>Cerastium alpinum</t>
  </si>
  <si>
    <t>Chamerion angustifolium</t>
  </si>
  <si>
    <t>fern</t>
  </si>
  <si>
    <t>Conostomum tetragonum</t>
  </si>
  <si>
    <t>Cystopteris fragilis</t>
  </si>
  <si>
    <t>Drepanocladus fluitans</t>
  </si>
  <si>
    <t>Drosera rotundifolia</t>
  </si>
  <si>
    <t>Empetrum hermaphroditum</t>
  </si>
  <si>
    <t>Empetrum nigrum</t>
  </si>
  <si>
    <t>Equisetum arvense</t>
  </si>
  <si>
    <t>Eriophorum scheuchzeri</t>
  </si>
  <si>
    <t>Eriophorum triste</t>
  </si>
  <si>
    <t>Eriophorum vaginatum</t>
  </si>
  <si>
    <t>Euphrasia wettsteinii</t>
  </si>
  <si>
    <t>Gymnomitrion corallioides</t>
  </si>
  <si>
    <t>Huperzia selago</t>
  </si>
  <si>
    <t>Hygrohypnum polare</t>
  </si>
  <si>
    <t>Hylocomium splendens</t>
  </si>
  <si>
    <t>Juncus sp.</t>
  </si>
  <si>
    <t>Larix laricina</t>
  </si>
  <si>
    <t>Luzula confusa</t>
  </si>
  <si>
    <t>Luzula nivea</t>
  </si>
  <si>
    <t>Marsupella arctica</t>
  </si>
  <si>
    <t>Myrica gale</t>
  </si>
  <si>
    <t>Ochrolechia frigida</t>
  </si>
  <si>
    <t>Phippsia algida</t>
  </si>
  <si>
    <t>Picea mariana</t>
  </si>
  <si>
    <t>Pleurocladula albescens</t>
  </si>
  <si>
    <t>Pleurozium schreberi</t>
  </si>
  <si>
    <t>Pogonatum fragile</t>
  </si>
  <si>
    <t>Pohlia wahlenbergii</t>
  </si>
  <si>
    <t>Pohlia filum</t>
  </si>
  <si>
    <t>Polygonum viviparum</t>
  </si>
  <si>
    <t>Polytrichum hyperboreum</t>
  </si>
  <si>
    <t>Polytrichum piliferum</t>
  </si>
  <si>
    <t>Psilopilum sp.</t>
  </si>
  <si>
    <t>Ptilidium ciliare</t>
  </si>
  <si>
    <t>Pyrola grandiflora</t>
  </si>
  <si>
    <t>Racomitrium lanuginosum</t>
  </si>
  <si>
    <t>Rhizocarpon cinereovirens</t>
  </si>
  <si>
    <t>Rhizocarpon geminatum</t>
  </si>
  <si>
    <t>Rhizocarpon geographicum</t>
  </si>
  <si>
    <t>Rhododendron groenlandicum</t>
  </si>
  <si>
    <t>Rhododendron lapponicum</t>
  </si>
  <si>
    <t>Rhododendron tomentosum</t>
  </si>
  <si>
    <t>Rosa acicularis</t>
  </si>
  <si>
    <t>Rubus chamaemorus</t>
  </si>
  <si>
    <t>Salix alaxensis</t>
  </si>
  <si>
    <t>Salix arctica</t>
  </si>
  <si>
    <t>Salix glauca</t>
  </si>
  <si>
    <t>Salix pulchra</t>
  </si>
  <si>
    <t>Salix reticulata</t>
  </si>
  <si>
    <t>Salix uva-ursi</t>
  </si>
  <si>
    <t>Saxifraga paniculata</t>
  </si>
  <si>
    <t>Sphagnum sp.</t>
  </si>
  <si>
    <t>Sphagnum warnstorfii</t>
  </si>
  <si>
    <t>Stereocaulon sp.</t>
  </si>
  <si>
    <t>Tomentypnum nitens</t>
  </si>
  <si>
    <t>Vaccinium uliginosum</t>
  </si>
  <si>
    <t>Vaccinium vitis-idaea</t>
  </si>
  <si>
    <t>Woodsia ilvensis</t>
  </si>
  <si>
    <t>Abies sibirica</t>
  </si>
  <si>
    <t>Arctous alpina</t>
  </si>
  <si>
    <t>Betula pendula</t>
  </si>
  <si>
    <t>Betula exilis</t>
  </si>
  <si>
    <t>Betula fruticosa</t>
  </si>
  <si>
    <t>Caltha palustris</t>
  </si>
  <si>
    <t>herb</t>
  </si>
  <si>
    <t>Comarum palustre</t>
  </si>
  <si>
    <t>Cornus alba</t>
  </si>
  <si>
    <t>Cystopteris sp.</t>
  </si>
  <si>
    <t>Dryas octopetala</t>
  </si>
  <si>
    <t>Eriophorum angustifolium</t>
  </si>
  <si>
    <t>Hierochloe pauciflora</t>
  </si>
  <si>
    <t>Juniperus cf. davurica</t>
  </si>
  <si>
    <t>Larix sp.</t>
  </si>
  <si>
    <t>Oxycoccus microcarpus</t>
  </si>
  <si>
    <t>Picea obovata</t>
  </si>
  <si>
    <t>Pinus pumila</t>
  </si>
  <si>
    <t>Pinus sibirica</t>
  </si>
  <si>
    <t>Pinus sylvestris</t>
  </si>
  <si>
    <t>Rubus arcticus</t>
  </si>
  <si>
    <t>Rubus saxatilis</t>
  </si>
  <si>
    <t>Salix sp.</t>
  </si>
  <si>
    <t>Sorbus aucuparia</t>
  </si>
  <si>
    <t>Vaccinium myrtillus</t>
  </si>
  <si>
    <t>Larix cajanderi</t>
  </si>
  <si>
    <t>Larix gmelinii</t>
  </si>
  <si>
    <t>Lonicera tatarica</t>
  </si>
  <si>
    <t>Rhododendron sichotense</t>
  </si>
  <si>
    <t>Poaceae sp.</t>
  </si>
  <si>
    <t>Cyperaceae</t>
  </si>
  <si>
    <t>Scheuchzeria palustris</t>
  </si>
  <si>
    <t>Carex lobularis</t>
  </si>
  <si>
    <t>Chamaedaphne calyculata</t>
  </si>
  <si>
    <t>Cephaloziella sp.</t>
  </si>
  <si>
    <t>Hippuris vulgaris</t>
  </si>
  <si>
    <t>Calliergon richardsonii</t>
  </si>
  <si>
    <t>Ranunculus hyperboreus</t>
  </si>
  <si>
    <t>algae</t>
  </si>
  <si>
    <t>Eleocharis acicularis</t>
  </si>
  <si>
    <t>Warnstorfia exannulata</t>
  </si>
  <si>
    <t>Scorpidium revolvens</t>
  </si>
  <si>
    <t>Calliergon sp.</t>
  </si>
  <si>
    <t>aquatic_macrophytes</t>
  </si>
  <si>
    <t>Chara sp.</t>
  </si>
  <si>
    <t>Caladophora sp.</t>
  </si>
  <si>
    <t>Potamogeton sp.</t>
  </si>
  <si>
    <t>Ruppia sp.</t>
  </si>
  <si>
    <t>Myriophillum spicatum</t>
  </si>
  <si>
    <t>Sparaganium foliosum</t>
  </si>
  <si>
    <t>Persicaria amphibia</t>
  </si>
  <si>
    <t>Potamogeton perfoliatus</t>
  </si>
  <si>
    <t>Nuphar lutea</t>
  </si>
  <si>
    <t>Sparaganium gramineum</t>
  </si>
  <si>
    <t>Sparganium emersum</t>
  </si>
  <si>
    <t>Potamogeton pectinatus</t>
  </si>
  <si>
    <t>Potamogeton natans</t>
  </si>
  <si>
    <t>Lobelia dortmanna</t>
  </si>
  <si>
    <t>Ceratophyllum demersum</t>
  </si>
  <si>
    <t>Drepanocladus sp.</t>
  </si>
  <si>
    <t>Chamaepericlymenum suecicum</t>
  </si>
  <si>
    <t>Stereocaulon capitatum</t>
  </si>
  <si>
    <t>Larix sibirica</t>
  </si>
  <si>
    <t>Betula platyphylla</t>
  </si>
  <si>
    <t>Potentilla fruticosa</t>
  </si>
  <si>
    <t>Lonicera altaica</t>
  </si>
  <si>
    <t>Stipa daicalensis</t>
  </si>
  <si>
    <t>Stipa grandis</t>
  </si>
  <si>
    <t>Artemisia frigida</t>
  </si>
  <si>
    <t>ACL</t>
  </si>
  <si>
    <t>Cotoneaster melanocarpus</t>
  </si>
  <si>
    <t>Leymus chinensis</t>
  </si>
  <si>
    <t>Allantoparmelia alpicola</t>
  </si>
  <si>
    <t>Abies nephrolepis</t>
  </si>
  <si>
    <t>Arctoparmelia incurva</t>
  </si>
  <si>
    <t>Chamaenerion latifolium</t>
  </si>
  <si>
    <t>Diapensia lapponica</t>
  </si>
  <si>
    <t>Dupontia fischeri</t>
  </si>
  <si>
    <t>Juniperus rigida</t>
  </si>
  <si>
    <t>Polytrichum juniperinum</t>
  </si>
  <si>
    <t>Artemisia sp.</t>
  </si>
  <si>
    <t>Caragana sp.</t>
  </si>
  <si>
    <t>Rumex arcticus</t>
  </si>
  <si>
    <t>Spiraea media</t>
  </si>
  <si>
    <t>Betula humilis</t>
  </si>
  <si>
    <t>Rubus chameamorus</t>
  </si>
  <si>
    <t>Carex aquatilis</t>
  </si>
  <si>
    <t>Eriophorum sp.</t>
  </si>
  <si>
    <t>Vaccinum uliginossum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</si>
</sst>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72D6-5DD7-4C29-A72A-B754D0C879D4}">
  <dimension ref="A1:AJ549"/>
  <sheetViews>
    <sheetView tabSelected="1" topLeftCell="A533" workbookViewId="0">
      <selection activeCell="A538" sqref="A538"/>
    </sheetView>
  </sheetViews>
  <sheetFormatPr defaultRowHeight="14.4" x14ac:dyDescent="0.3"/>
  <cols>
    <col min="1" max="1" width="26" customWidth="1"/>
    <col min="14" max="14" width="15.5546875" customWidth="1"/>
    <col min="15" max="16" width="26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175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3">
      <c r="A2" t="s">
        <v>179</v>
      </c>
      <c r="B2" t="s">
        <v>16</v>
      </c>
      <c r="C2">
        <v>0</v>
      </c>
      <c r="D2">
        <v>0.22324159021406728</v>
      </c>
      <c r="E2">
        <v>0.10206422018348624</v>
      </c>
      <c r="F2">
        <v>0.16055045871559634</v>
      </c>
      <c r="G2">
        <v>0.37958715596330272</v>
      </c>
      <c r="H2">
        <v>0.13455657492354739</v>
      </c>
      <c r="I2">
        <v>5.84</v>
      </c>
      <c r="J2">
        <v>2.67</v>
      </c>
      <c r="K2">
        <v>4.2</v>
      </c>
      <c r="L2">
        <v>9.93</v>
      </c>
      <c r="M2">
        <v>3.52</v>
      </c>
      <c r="N2">
        <f t="shared" ref="N2:N65" si="0">(D2*23+E2*25+F2*27+G2*29+H2*31)/SUM(D2:H2)</f>
        <v>27.200305810397548</v>
      </c>
    </row>
    <row r="3" spans="1:36" x14ac:dyDescent="0.3">
      <c r="A3" t="s">
        <v>106</v>
      </c>
      <c r="B3" t="s">
        <v>16</v>
      </c>
      <c r="C3">
        <v>0</v>
      </c>
      <c r="D3">
        <v>0.17769440654843111</v>
      </c>
      <c r="E3">
        <v>0.29195088676671216</v>
      </c>
      <c r="F3">
        <v>0.27762619372442021</v>
      </c>
      <c r="G3">
        <v>0.123806275579809</v>
      </c>
      <c r="H3">
        <v>0.12892223738062755</v>
      </c>
      <c r="I3">
        <v>5.21</v>
      </c>
      <c r="J3">
        <v>8.56</v>
      </c>
      <c r="K3">
        <v>8.14</v>
      </c>
      <c r="L3">
        <v>3.63</v>
      </c>
      <c r="M3">
        <v>3.78</v>
      </c>
      <c r="N3">
        <f t="shared" si="0"/>
        <v>26.468622100954981</v>
      </c>
    </row>
    <row r="4" spans="1:36" x14ac:dyDescent="0.3">
      <c r="A4" t="s">
        <v>106</v>
      </c>
      <c r="B4" t="s">
        <v>16</v>
      </c>
      <c r="C4">
        <v>0</v>
      </c>
      <c r="D4">
        <v>0.28801843317972353</v>
      </c>
      <c r="E4">
        <v>0.19216589861751152</v>
      </c>
      <c r="F4">
        <v>0.28940092165898618</v>
      </c>
      <c r="G4">
        <v>0.12534562211981568</v>
      </c>
      <c r="H4">
        <v>0.10506912442396313</v>
      </c>
      <c r="I4">
        <v>6.25</v>
      </c>
      <c r="J4">
        <v>4.17</v>
      </c>
      <c r="K4">
        <v>6.28</v>
      </c>
      <c r="L4">
        <v>2.72</v>
      </c>
      <c r="M4">
        <v>2.2799999999999998</v>
      </c>
      <c r="N4">
        <f t="shared" si="0"/>
        <v>26.13456221198156</v>
      </c>
    </row>
    <row r="5" spans="1:36" x14ac:dyDescent="0.3">
      <c r="A5" t="s">
        <v>144</v>
      </c>
      <c r="B5" t="s">
        <v>144</v>
      </c>
      <c r="C5">
        <v>0</v>
      </c>
      <c r="D5">
        <f>I5/SUM($I5:$M5)</f>
        <v>0.24044178416759016</v>
      </c>
      <c r="E5">
        <f>J5/SUM($I5:$M5)</f>
        <v>0.23220922299390709</v>
      </c>
      <c r="F5">
        <f>K5/SUM($I5:$M5)</f>
        <v>0.23775934352319297</v>
      </c>
      <c r="G5">
        <f>L5/SUM($I5:$M5)</f>
        <v>0.16560777664247692</v>
      </c>
      <c r="H5">
        <f>M5/SUM($I5:$M5)</f>
        <v>0.12398187267283305</v>
      </c>
      <c r="I5">
        <v>1.939636884448116</v>
      </c>
      <c r="J5">
        <v>1.8732250527391099</v>
      </c>
      <c r="K5">
        <v>1.917997713734805</v>
      </c>
      <c r="L5">
        <v>1.3359531207907724</v>
      </c>
      <c r="M5">
        <v>1.0001581633230614</v>
      </c>
      <c r="N5">
        <f t="shared" si="0"/>
        <v>26.400957461318104</v>
      </c>
    </row>
    <row r="6" spans="1:36" x14ac:dyDescent="0.3">
      <c r="A6" t="s">
        <v>178</v>
      </c>
      <c r="B6" t="s">
        <v>13</v>
      </c>
      <c r="C6">
        <v>0</v>
      </c>
      <c r="D6">
        <v>0.19750000000000001</v>
      </c>
      <c r="E6">
        <v>0.19750000000000001</v>
      </c>
      <c r="F6">
        <v>0.20749999999999999</v>
      </c>
      <c r="G6">
        <v>0.22</v>
      </c>
      <c r="H6">
        <v>0.17749999999999999</v>
      </c>
      <c r="I6">
        <v>0.79</v>
      </c>
      <c r="J6">
        <v>0.79</v>
      </c>
      <c r="K6">
        <v>0.83</v>
      </c>
      <c r="L6">
        <v>0.88</v>
      </c>
      <c r="M6">
        <v>0.71</v>
      </c>
      <c r="N6">
        <f t="shared" si="0"/>
        <v>26.964999999999996</v>
      </c>
    </row>
    <row r="7" spans="1:36" x14ac:dyDescent="0.3">
      <c r="A7" t="s">
        <v>14</v>
      </c>
      <c r="B7" t="s">
        <v>15</v>
      </c>
      <c r="C7" t="s">
        <v>16</v>
      </c>
      <c r="D7">
        <v>7.9611388476588853E-3</v>
      </c>
      <c r="E7">
        <v>0.12144110106598299</v>
      </c>
      <c r="F7">
        <v>0.47582422525075341</v>
      </c>
      <c r="G7">
        <v>0.14473980119641972</v>
      </c>
      <c r="H7">
        <v>0.25003373363918502</v>
      </c>
      <c r="I7">
        <v>3.54</v>
      </c>
      <c r="J7">
        <v>54</v>
      </c>
      <c r="K7">
        <v>211.58</v>
      </c>
      <c r="L7">
        <v>64.36</v>
      </c>
      <c r="M7">
        <v>111.18</v>
      </c>
      <c r="N7">
        <f t="shared" si="0"/>
        <v>28.014887779426978</v>
      </c>
    </row>
    <row r="8" spans="1:36" x14ac:dyDescent="0.3">
      <c r="A8" t="s">
        <v>14</v>
      </c>
      <c r="B8" t="s">
        <v>15</v>
      </c>
      <c r="C8" t="s">
        <v>16</v>
      </c>
      <c r="D8">
        <v>3.5758323057953137E-2</v>
      </c>
      <c r="E8">
        <v>0.15676120016440606</v>
      </c>
      <c r="F8">
        <v>0.49171804356761195</v>
      </c>
      <c r="G8">
        <v>0.14278668310727496</v>
      </c>
      <c r="H8">
        <v>0.17297575010275379</v>
      </c>
      <c r="I8">
        <v>17.399999999999999</v>
      </c>
      <c r="J8">
        <v>76.28</v>
      </c>
      <c r="K8">
        <v>239.27</v>
      </c>
      <c r="L8">
        <v>69.48</v>
      </c>
      <c r="M8">
        <v>84.17</v>
      </c>
      <c r="N8">
        <f t="shared" si="0"/>
        <v>27.520920674064943</v>
      </c>
    </row>
    <row r="9" spans="1:36" x14ac:dyDescent="0.3">
      <c r="A9" t="s">
        <v>14</v>
      </c>
      <c r="B9" t="s">
        <v>15</v>
      </c>
      <c r="C9" t="s">
        <v>16</v>
      </c>
      <c r="D9">
        <v>1.5461609377057815E-2</v>
      </c>
      <c r="E9">
        <v>0.15113920716449361</v>
      </c>
      <c r="F9">
        <v>0.56491505333860126</v>
      </c>
      <c r="G9">
        <v>0.12000526801000921</v>
      </c>
      <c r="H9">
        <v>0.14847886210983799</v>
      </c>
      <c r="I9">
        <v>5.87</v>
      </c>
      <c r="J9">
        <v>57.38</v>
      </c>
      <c r="K9">
        <v>214.47</v>
      </c>
      <c r="L9">
        <v>45.56</v>
      </c>
      <c r="M9">
        <v>56.37</v>
      </c>
      <c r="N9">
        <f t="shared" si="0"/>
        <v>27.469801132622152</v>
      </c>
    </row>
    <row r="10" spans="1:36" x14ac:dyDescent="0.3">
      <c r="A10" t="s">
        <v>14</v>
      </c>
      <c r="B10" t="s">
        <v>15</v>
      </c>
      <c r="C10" t="s">
        <v>16</v>
      </c>
      <c r="D10">
        <v>9.0909090909090912E-2</v>
      </c>
      <c r="E10">
        <v>0.72727272727272729</v>
      </c>
      <c r="F10">
        <v>9.0909090909090912E-2</v>
      </c>
      <c r="G10">
        <v>9.0909090909090912E-2</v>
      </c>
      <c r="H10">
        <v>0</v>
      </c>
      <c r="I10">
        <v>10</v>
      </c>
      <c r="J10">
        <v>80</v>
      </c>
      <c r="K10">
        <v>10</v>
      </c>
      <c r="L10">
        <v>10</v>
      </c>
      <c r="M10">
        <v>0</v>
      </c>
      <c r="N10">
        <f t="shared" si="0"/>
        <v>25.363636363636363</v>
      </c>
    </row>
    <row r="11" spans="1:36" x14ac:dyDescent="0.3">
      <c r="A11" t="s">
        <v>14</v>
      </c>
      <c r="B11" t="s">
        <v>15</v>
      </c>
      <c r="C11" t="s">
        <v>16</v>
      </c>
      <c r="D11">
        <v>0.1</v>
      </c>
      <c r="E11">
        <v>0.7</v>
      </c>
      <c r="F11">
        <v>0.1</v>
      </c>
      <c r="G11">
        <v>0.1</v>
      </c>
      <c r="H11">
        <v>0</v>
      </c>
      <c r="I11">
        <v>10</v>
      </c>
      <c r="J11">
        <v>70</v>
      </c>
      <c r="K11">
        <v>10</v>
      </c>
      <c r="L11">
        <v>10</v>
      </c>
      <c r="M11">
        <v>0</v>
      </c>
      <c r="N11">
        <f t="shared" si="0"/>
        <v>25.400000000000002</v>
      </c>
    </row>
    <row r="12" spans="1:36" x14ac:dyDescent="0.3">
      <c r="A12" t="s">
        <v>14</v>
      </c>
      <c r="B12" t="s">
        <v>15</v>
      </c>
      <c r="C12" t="s">
        <v>16</v>
      </c>
      <c r="D12">
        <v>0.1</v>
      </c>
      <c r="E12">
        <v>0.8</v>
      </c>
      <c r="F12">
        <v>0</v>
      </c>
      <c r="G12">
        <v>0.1</v>
      </c>
      <c r="H12">
        <v>0</v>
      </c>
      <c r="I12">
        <v>10</v>
      </c>
      <c r="J12">
        <v>80</v>
      </c>
      <c r="K12">
        <v>0</v>
      </c>
      <c r="L12">
        <v>10</v>
      </c>
      <c r="M12">
        <v>0</v>
      </c>
      <c r="N12">
        <f t="shared" si="0"/>
        <v>25.200000000000003</v>
      </c>
    </row>
    <row r="13" spans="1:36" x14ac:dyDescent="0.3">
      <c r="A13" t="s">
        <v>14</v>
      </c>
      <c r="B13" t="s">
        <v>15</v>
      </c>
      <c r="C13" t="s">
        <v>16</v>
      </c>
      <c r="D13">
        <v>7.2211369969262598E-3</v>
      </c>
      <c r="E13">
        <v>7.5611875556576946E-2</v>
      </c>
      <c r="F13">
        <v>0.84137198012122616</v>
      </c>
      <c r="G13">
        <v>3.5143345494240336E-2</v>
      </c>
      <c r="H13">
        <v>4.0651661831030424E-2</v>
      </c>
      <c r="I13">
        <v>20.11</v>
      </c>
      <c r="J13">
        <v>210.57</v>
      </c>
      <c r="K13">
        <v>2343.12</v>
      </c>
      <c r="L13">
        <v>97.87</v>
      </c>
      <c r="M13">
        <v>113.21</v>
      </c>
      <c r="N13">
        <f t="shared" si="0"/>
        <v>27.052785039211738</v>
      </c>
    </row>
    <row r="14" spans="1:36" x14ac:dyDescent="0.3">
      <c r="A14" t="s">
        <v>17</v>
      </c>
      <c r="B14" t="s">
        <v>18</v>
      </c>
      <c r="C14">
        <v>0</v>
      </c>
      <c r="D14">
        <v>0.56002154446913088</v>
      </c>
      <c r="E14">
        <v>0.11640745977243654</v>
      </c>
      <c r="F14">
        <v>0.14818555174038917</v>
      </c>
      <c r="G14">
        <v>0.15343701609102536</v>
      </c>
      <c r="H14">
        <v>2.1948427927018108E-2</v>
      </c>
      <c r="I14">
        <v>83.18</v>
      </c>
      <c r="J14">
        <v>17.29</v>
      </c>
      <c r="K14">
        <v>22.01</v>
      </c>
      <c r="L14">
        <v>22.79</v>
      </c>
      <c r="M14">
        <v>3.26</v>
      </c>
      <c r="N14">
        <f t="shared" si="0"/>
        <v>24.921766646468729</v>
      </c>
    </row>
    <row r="15" spans="1:36" x14ac:dyDescent="0.3">
      <c r="A15" t="s">
        <v>17</v>
      </c>
      <c r="B15" t="s">
        <v>18</v>
      </c>
      <c r="C15">
        <v>0</v>
      </c>
      <c r="D15">
        <v>0.18730956326508791</v>
      </c>
      <c r="E15">
        <v>0.49184797134762387</v>
      </c>
      <c r="F15">
        <v>0.25690917838242366</v>
      </c>
      <c r="G15">
        <v>5.4631955952317311E-2</v>
      </c>
      <c r="H15">
        <v>9.3013310525471744E-3</v>
      </c>
      <c r="I15">
        <v>35.04</v>
      </c>
      <c r="J15">
        <v>92.01</v>
      </c>
      <c r="K15">
        <v>48.06</v>
      </c>
      <c r="L15">
        <v>10.220000000000001</v>
      </c>
      <c r="M15">
        <v>1.74</v>
      </c>
      <c r="N15">
        <f t="shared" si="0"/>
        <v>25.413535040359225</v>
      </c>
    </row>
    <row r="16" spans="1:36" x14ac:dyDescent="0.3">
      <c r="A16" t="s">
        <v>17</v>
      </c>
      <c r="B16" t="s">
        <v>18</v>
      </c>
      <c r="C16">
        <v>0</v>
      </c>
      <c r="D16">
        <v>0.17424434372155442</v>
      </c>
      <c r="E16">
        <v>0.55025665568724613</v>
      </c>
      <c r="F16">
        <v>0.23785929450184401</v>
      </c>
      <c r="G16">
        <v>3.7639706089355594E-2</v>
      </c>
      <c r="H16">
        <v>0</v>
      </c>
      <c r="I16">
        <v>185.68</v>
      </c>
      <c r="J16">
        <v>586.37</v>
      </c>
      <c r="K16">
        <v>253.47</v>
      </c>
      <c r="L16">
        <v>40.11</v>
      </c>
      <c r="M16">
        <v>0</v>
      </c>
      <c r="N16">
        <f t="shared" si="0"/>
        <v>25.277788725918001</v>
      </c>
    </row>
    <row r="17" spans="1:14" x14ac:dyDescent="0.3">
      <c r="A17" t="s">
        <v>19</v>
      </c>
      <c r="B17" t="s">
        <v>18</v>
      </c>
      <c r="C17">
        <v>0</v>
      </c>
      <c r="D17">
        <v>4.0996010455358375E-2</v>
      </c>
      <c r="E17">
        <v>0.26344751685238682</v>
      </c>
      <c r="F17">
        <v>0.24673270050901086</v>
      </c>
      <c r="G17">
        <v>0.16529096161782916</v>
      </c>
      <c r="H17">
        <v>0.28353281056541479</v>
      </c>
      <c r="I17">
        <v>5.96</v>
      </c>
      <c r="J17">
        <v>38.299999999999997</v>
      </c>
      <c r="K17">
        <v>35.869999999999997</v>
      </c>
      <c r="L17">
        <v>24.03</v>
      </c>
      <c r="M17">
        <v>41.22</v>
      </c>
      <c r="N17">
        <f t="shared" si="0"/>
        <v>27.77383408997111</v>
      </c>
    </row>
    <row r="18" spans="1:14" x14ac:dyDescent="0.3">
      <c r="A18" t="s">
        <v>19</v>
      </c>
      <c r="B18" t="s">
        <v>18</v>
      </c>
      <c r="C18">
        <v>0</v>
      </c>
      <c r="D18">
        <v>0.18179599804782823</v>
      </c>
      <c r="E18">
        <v>0.24027981129006018</v>
      </c>
      <c r="F18">
        <v>0.445095168374817</v>
      </c>
      <c r="G18">
        <v>0.11046038718073857</v>
      </c>
      <c r="H18">
        <v>2.2368635106556043E-2</v>
      </c>
      <c r="I18">
        <v>22.35</v>
      </c>
      <c r="J18">
        <v>29.54</v>
      </c>
      <c r="K18">
        <v>54.72</v>
      </c>
      <c r="L18">
        <v>13.58</v>
      </c>
      <c r="M18">
        <v>2.75</v>
      </c>
      <c r="N18">
        <f t="shared" si="0"/>
        <v>26.102651700016271</v>
      </c>
    </row>
    <row r="19" spans="1:14" x14ac:dyDescent="0.3">
      <c r="A19" t="s">
        <v>20</v>
      </c>
      <c r="B19" t="s">
        <v>15</v>
      </c>
      <c r="C19">
        <v>0</v>
      </c>
      <c r="D19">
        <v>2.9038172296815133E-3</v>
      </c>
      <c r="E19">
        <v>1.053388518668965E-2</v>
      </c>
      <c r="F19">
        <v>3.3380174997529835E-2</v>
      </c>
      <c r="G19">
        <v>0.31440271388891938</v>
      </c>
      <c r="H19">
        <v>0.63877940869717964</v>
      </c>
      <c r="I19">
        <v>5.29</v>
      </c>
      <c r="J19">
        <v>19.190000000000001</v>
      </c>
      <c r="K19">
        <v>60.81</v>
      </c>
      <c r="L19">
        <v>572.76</v>
      </c>
      <c r="M19">
        <v>1163.69</v>
      </c>
      <c r="N19">
        <f t="shared" si="0"/>
        <v>30.151240023274454</v>
      </c>
    </row>
    <row r="20" spans="1:14" x14ac:dyDescent="0.3">
      <c r="A20" t="s">
        <v>20</v>
      </c>
      <c r="B20" t="s">
        <v>15</v>
      </c>
      <c r="C20">
        <v>0</v>
      </c>
      <c r="D20">
        <v>1.3157161002509372E-2</v>
      </c>
      <c r="E20">
        <v>1.1964435081632021E-2</v>
      </c>
      <c r="F20">
        <v>0.10703863192787881</v>
      </c>
      <c r="G20">
        <v>0.64702128318721153</v>
      </c>
      <c r="H20">
        <v>0.22081848880076832</v>
      </c>
      <c r="I20">
        <v>42.47</v>
      </c>
      <c r="J20">
        <v>38.619999999999997</v>
      </c>
      <c r="K20">
        <v>345.51</v>
      </c>
      <c r="L20">
        <v>2088.52</v>
      </c>
      <c r="M20">
        <v>712.78</v>
      </c>
      <c r="N20">
        <f t="shared" si="0"/>
        <v>29.100759007404196</v>
      </c>
    </row>
    <row r="21" spans="1:14" x14ac:dyDescent="0.3">
      <c r="A21" t="s">
        <v>20</v>
      </c>
      <c r="B21" t="s">
        <v>15</v>
      </c>
      <c r="C21">
        <v>0</v>
      </c>
      <c r="D21">
        <v>3.2599837000814999E-3</v>
      </c>
      <c r="E21">
        <v>2.3838630806845965E-2</v>
      </c>
      <c r="F21">
        <v>8.7713936430317843E-2</v>
      </c>
      <c r="G21">
        <v>0.50876120619396903</v>
      </c>
      <c r="H21">
        <v>0.37642624286878568</v>
      </c>
      <c r="I21">
        <v>0.32</v>
      </c>
      <c r="J21">
        <v>2.34</v>
      </c>
      <c r="K21">
        <v>8.61</v>
      </c>
      <c r="L21">
        <v>49.94</v>
      </c>
      <c r="M21">
        <v>36.950000000000003</v>
      </c>
      <c r="N21">
        <f t="shared" si="0"/>
        <v>29.462510187449066</v>
      </c>
    </row>
    <row r="22" spans="1:14" x14ac:dyDescent="0.3">
      <c r="A22" t="s">
        <v>21</v>
      </c>
      <c r="B22" t="s">
        <v>22</v>
      </c>
      <c r="C22">
        <v>0</v>
      </c>
      <c r="D22">
        <v>0.24793103448275861</v>
      </c>
      <c r="E22">
        <v>0.22413793103448273</v>
      </c>
      <c r="F22">
        <v>0.20862068965517239</v>
      </c>
      <c r="G22">
        <v>0.17534482758620687</v>
      </c>
      <c r="H22">
        <v>0.14396551724137929</v>
      </c>
      <c r="I22">
        <v>14.38</v>
      </c>
      <c r="J22">
        <v>13</v>
      </c>
      <c r="K22">
        <v>12.1</v>
      </c>
      <c r="L22">
        <v>10.17</v>
      </c>
      <c r="M22">
        <v>8.35</v>
      </c>
      <c r="N22">
        <f t="shared" si="0"/>
        <v>26.486551724137929</v>
      </c>
    </row>
    <row r="23" spans="1:14" x14ac:dyDescent="0.3">
      <c r="A23" t="s">
        <v>21</v>
      </c>
      <c r="B23" t="s">
        <v>22</v>
      </c>
      <c r="C23">
        <v>0</v>
      </c>
      <c r="D23">
        <v>0.2626939351198872</v>
      </c>
      <c r="E23">
        <v>0.25229196050775743</v>
      </c>
      <c r="F23">
        <v>0.23307475317348381</v>
      </c>
      <c r="G23">
        <v>0.16572637517630467</v>
      </c>
      <c r="H23">
        <v>8.6212976022566987E-2</v>
      </c>
      <c r="I23">
        <v>14.9</v>
      </c>
      <c r="J23">
        <v>14.31</v>
      </c>
      <c r="K23">
        <v>13.22</v>
      </c>
      <c r="L23">
        <v>9.4</v>
      </c>
      <c r="M23">
        <v>4.8899999999999997</v>
      </c>
      <c r="N23">
        <f t="shared" si="0"/>
        <v>26.120944992947816</v>
      </c>
    </row>
    <row r="24" spans="1:14" x14ac:dyDescent="0.3">
      <c r="A24" t="s">
        <v>21</v>
      </c>
      <c r="B24" t="s">
        <v>22</v>
      </c>
      <c r="C24">
        <v>0</v>
      </c>
      <c r="D24">
        <v>0.34789934846101994</v>
      </c>
      <c r="E24">
        <v>0.26230060660525722</v>
      </c>
      <c r="F24">
        <v>0.22006290721186247</v>
      </c>
      <c r="G24">
        <v>0.12558975511121095</v>
      </c>
      <c r="H24">
        <v>4.4147382610649287E-2</v>
      </c>
      <c r="I24">
        <v>30.97</v>
      </c>
      <c r="J24">
        <v>23.35</v>
      </c>
      <c r="K24">
        <v>19.59</v>
      </c>
      <c r="L24">
        <v>11.18</v>
      </c>
      <c r="M24">
        <v>3.93</v>
      </c>
      <c r="N24">
        <f t="shared" si="0"/>
        <v>25.511570433610427</v>
      </c>
    </row>
    <row r="25" spans="1:14" x14ac:dyDescent="0.3">
      <c r="A25" t="s">
        <v>21</v>
      </c>
      <c r="B25" t="s">
        <v>22</v>
      </c>
      <c r="C25">
        <v>0</v>
      </c>
      <c r="D25">
        <v>0.53862314156431812</v>
      </c>
      <c r="E25">
        <v>0.21670976082740792</v>
      </c>
      <c r="F25">
        <v>0.13348416289592763</v>
      </c>
      <c r="G25">
        <v>8.0963154492566275E-2</v>
      </c>
      <c r="H25">
        <v>3.0219780219780227E-2</v>
      </c>
      <c r="I25">
        <v>33.33</v>
      </c>
      <c r="J25">
        <v>13.41</v>
      </c>
      <c r="K25">
        <v>8.26</v>
      </c>
      <c r="L25">
        <v>5.01</v>
      </c>
      <c r="M25">
        <v>1.87</v>
      </c>
      <c r="N25">
        <f t="shared" si="0"/>
        <v>24.694893341952159</v>
      </c>
    </row>
    <row r="26" spans="1:14" x14ac:dyDescent="0.3">
      <c r="A26" t="s">
        <v>180</v>
      </c>
      <c r="B26" t="s">
        <v>13</v>
      </c>
      <c r="C26">
        <v>0</v>
      </c>
      <c r="D26">
        <v>0.15789473684210523</v>
      </c>
      <c r="E26">
        <v>0.21052631578947364</v>
      </c>
      <c r="F26">
        <v>0.21052631578947364</v>
      </c>
      <c r="G26">
        <v>0.23684210526315785</v>
      </c>
      <c r="H26">
        <v>0.18421052631578946</v>
      </c>
      <c r="I26">
        <v>0.06</v>
      </c>
      <c r="J26">
        <v>0.08</v>
      </c>
      <c r="K26">
        <v>0.08</v>
      </c>
      <c r="L26">
        <v>0.09</v>
      </c>
      <c r="M26">
        <v>7.0000000000000007E-2</v>
      </c>
      <c r="N26">
        <f t="shared" si="0"/>
        <v>27.157894736842103</v>
      </c>
    </row>
    <row r="27" spans="1:14" x14ac:dyDescent="0.3">
      <c r="A27" t="s">
        <v>23</v>
      </c>
      <c r="B27" t="s">
        <v>15</v>
      </c>
      <c r="C27">
        <v>0</v>
      </c>
      <c r="D27">
        <v>0</v>
      </c>
      <c r="E27">
        <v>0</v>
      </c>
      <c r="F27">
        <v>0.2</v>
      </c>
      <c r="G27">
        <v>0.7</v>
      </c>
      <c r="H27">
        <v>0.1</v>
      </c>
      <c r="I27">
        <v>0</v>
      </c>
      <c r="J27">
        <v>0</v>
      </c>
      <c r="K27">
        <v>20</v>
      </c>
      <c r="L27">
        <v>70</v>
      </c>
      <c r="M27">
        <v>10</v>
      </c>
      <c r="N27">
        <f t="shared" si="0"/>
        <v>28.8</v>
      </c>
    </row>
    <row r="28" spans="1:14" x14ac:dyDescent="0.3">
      <c r="A28" t="s">
        <v>23</v>
      </c>
      <c r="B28" t="s">
        <v>15</v>
      </c>
      <c r="C28">
        <v>0</v>
      </c>
      <c r="D28">
        <v>0</v>
      </c>
      <c r="E28">
        <v>0</v>
      </c>
      <c r="F28">
        <v>0.3</v>
      </c>
      <c r="G28">
        <v>0.6</v>
      </c>
      <c r="H28">
        <v>0.1</v>
      </c>
      <c r="I28">
        <v>0</v>
      </c>
      <c r="J28">
        <v>0</v>
      </c>
      <c r="K28">
        <v>30</v>
      </c>
      <c r="L28">
        <v>60</v>
      </c>
      <c r="M28">
        <v>10</v>
      </c>
      <c r="N28">
        <f t="shared" si="0"/>
        <v>28.600000000000005</v>
      </c>
    </row>
    <row r="29" spans="1:14" x14ac:dyDescent="0.3">
      <c r="A29" t="s">
        <v>23</v>
      </c>
      <c r="B29" t="s">
        <v>15</v>
      </c>
      <c r="C29">
        <v>0</v>
      </c>
      <c r="D29">
        <v>0.1111111111111111</v>
      </c>
      <c r="E29">
        <v>0.77777777777777779</v>
      </c>
      <c r="F29">
        <v>0.1111111111111111</v>
      </c>
      <c r="G29">
        <v>0</v>
      </c>
      <c r="H29">
        <v>0</v>
      </c>
      <c r="I29">
        <v>10</v>
      </c>
      <c r="J29">
        <v>70</v>
      </c>
      <c r="K29">
        <v>10</v>
      </c>
      <c r="L29">
        <v>0</v>
      </c>
      <c r="M29">
        <v>0</v>
      </c>
      <c r="N29">
        <f t="shared" si="0"/>
        <v>25</v>
      </c>
    </row>
    <row r="30" spans="1:14" x14ac:dyDescent="0.3">
      <c r="A30" t="s">
        <v>107</v>
      </c>
      <c r="B30" t="s">
        <v>15</v>
      </c>
      <c r="C30">
        <v>0</v>
      </c>
      <c r="D30">
        <v>0</v>
      </c>
      <c r="E30">
        <v>9.7323862051205013E-3</v>
      </c>
      <c r="F30">
        <v>3.0441873940382426E-2</v>
      </c>
      <c r="G30">
        <v>0.30398952722278255</v>
      </c>
      <c r="H30">
        <v>0.65583621263171454</v>
      </c>
      <c r="I30">
        <v>0</v>
      </c>
      <c r="J30">
        <v>9.07</v>
      </c>
      <c r="K30">
        <v>28.37</v>
      </c>
      <c r="L30">
        <v>283.3</v>
      </c>
      <c r="M30">
        <v>611.20000000000005</v>
      </c>
      <c r="N30">
        <f t="shared" si="0"/>
        <v>30.211859132562182</v>
      </c>
    </row>
    <row r="31" spans="1:14" x14ac:dyDescent="0.3">
      <c r="A31" t="s">
        <v>174</v>
      </c>
      <c r="B31" t="s">
        <v>15</v>
      </c>
      <c r="C31">
        <v>0</v>
      </c>
      <c r="D31">
        <f t="shared" ref="D31:D39" si="1">I31/SUM($I31:$M31)</f>
        <v>0</v>
      </c>
      <c r="E31">
        <f t="shared" ref="E31:E39" si="2">J31/SUM($I31:$M31)</f>
        <v>7.4074074074074077E-3</v>
      </c>
      <c r="F31">
        <f t="shared" ref="F31:F39" si="3">K31/SUM($I31:$M31)</f>
        <v>3.4814814814814812E-2</v>
      </c>
      <c r="G31">
        <f t="shared" ref="G31:G39" si="4">L31/SUM($I31:$M31)</f>
        <v>0.58740740740740738</v>
      </c>
      <c r="H31">
        <f t="shared" ref="H31:H39" si="5">M31/SUM($I31:$M31)</f>
        <v>0.37037037037037035</v>
      </c>
      <c r="I31">
        <v>0</v>
      </c>
      <c r="J31">
        <v>10</v>
      </c>
      <c r="K31">
        <v>47</v>
      </c>
      <c r="L31">
        <v>793</v>
      </c>
      <c r="M31">
        <v>500</v>
      </c>
      <c r="N31">
        <f t="shared" si="0"/>
        <v>29.641481481481485</v>
      </c>
    </row>
    <row r="32" spans="1:14" x14ac:dyDescent="0.3">
      <c r="A32" t="s">
        <v>174</v>
      </c>
      <c r="B32" t="s">
        <v>15</v>
      </c>
      <c r="C32">
        <v>0</v>
      </c>
      <c r="D32">
        <f t="shared" si="1"/>
        <v>2.3852116875372688E-3</v>
      </c>
      <c r="E32">
        <f t="shared" si="2"/>
        <v>8.348240906380441E-3</v>
      </c>
      <c r="F32">
        <f t="shared" si="3"/>
        <v>3.2200357781753133E-2</v>
      </c>
      <c r="G32">
        <f t="shared" si="4"/>
        <v>0.54323196183661304</v>
      </c>
      <c r="H32">
        <f t="shared" si="5"/>
        <v>0.41383422778771617</v>
      </c>
      <c r="I32">
        <v>4</v>
      </c>
      <c r="J32">
        <v>14</v>
      </c>
      <c r="K32">
        <v>54</v>
      </c>
      <c r="L32">
        <v>911</v>
      </c>
      <c r="M32">
        <v>694</v>
      </c>
      <c r="N32">
        <f t="shared" si="0"/>
        <v>29.715563506261184</v>
      </c>
    </row>
    <row r="33" spans="1:14" x14ac:dyDescent="0.3">
      <c r="A33" t="s">
        <v>174</v>
      </c>
      <c r="B33" t="s">
        <v>15</v>
      </c>
      <c r="C33">
        <v>0</v>
      </c>
      <c r="D33">
        <f t="shared" si="1"/>
        <v>0</v>
      </c>
      <c r="E33">
        <f t="shared" si="2"/>
        <v>7.9365079365079361E-3</v>
      </c>
      <c r="F33">
        <f t="shared" si="3"/>
        <v>3.1746031746031744E-2</v>
      </c>
      <c r="G33">
        <f t="shared" si="4"/>
        <v>0.52248677248677244</v>
      </c>
      <c r="H33">
        <f t="shared" si="5"/>
        <v>0.43783068783068785</v>
      </c>
      <c r="I33">
        <v>0</v>
      </c>
      <c r="J33">
        <v>12</v>
      </c>
      <c r="K33">
        <v>48</v>
      </c>
      <c r="L33">
        <v>790</v>
      </c>
      <c r="M33">
        <v>662</v>
      </c>
      <c r="N33">
        <f t="shared" si="0"/>
        <v>29.780423280423278</v>
      </c>
    </row>
    <row r="34" spans="1:14" x14ac:dyDescent="0.3">
      <c r="A34" t="s">
        <v>174</v>
      </c>
      <c r="B34" t="s">
        <v>15</v>
      </c>
      <c r="C34">
        <v>0</v>
      </c>
      <c r="D34">
        <f t="shared" si="1"/>
        <v>0</v>
      </c>
      <c r="E34">
        <f t="shared" si="2"/>
        <v>1.2962073931829092E-2</v>
      </c>
      <c r="F34">
        <f t="shared" si="3"/>
        <v>5.8569371099375898E-2</v>
      </c>
      <c r="G34">
        <f t="shared" si="4"/>
        <v>0.54776764282285162</v>
      </c>
      <c r="H34">
        <f t="shared" si="5"/>
        <v>0.38070091214594337</v>
      </c>
      <c r="I34">
        <v>0</v>
      </c>
      <c r="J34">
        <v>27</v>
      </c>
      <c r="K34">
        <v>122</v>
      </c>
      <c r="L34">
        <v>1141</v>
      </c>
      <c r="M34">
        <v>793</v>
      </c>
      <c r="N34">
        <f t="shared" si="0"/>
        <v>29.592414786365818</v>
      </c>
    </row>
    <row r="35" spans="1:14" x14ac:dyDescent="0.3">
      <c r="A35" t="s">
        <v>174</v>
      </c>
      <c r="B35" t="s">
        <v>15</v>
      </c>
      <c r="C35">
        <v>0</v>
      </c>
      <c r="D35">
        <f t="shared" si="1"/>
        <v>1.2537829658452227E-2</v>
      </c>
      <c r="E35">
        <f t="shared" si="2"/>
        <v>4.1936878512753996E-2</v>
      </c>
      <c r="F35">
        <f t="shared" si="3"/>
        <v>7.2200605274535229E-2</v>
      </c>
      <c r="G35">
        <f t="shared" si="4"/>
        <v>0.51664504971897973</v>
      </c>
      <c r="H35">
        <f t="shared" si="5"/>
        <v>0.35667963683527887</v>
      </c>
      <c r="I35">
        <v>29</v>
      </c>
      <c r="J35">
        <v>97</v>
      </c>
      <c r="K35">
        <v>167</v>
      </c>
      <c r="L35">
        <v>1195</v>
      </c>
      <c r="M35">
        <v>825</v>
      </c>
      <c r="N35">
        <f t="shared" si="0"/>
        <v>29.32598357111976</v>
      </c>
    </row>
    <row r="36" spans="1:14" x14ac:dyDescent="0.3">
      <c r="A36" t="s">
        <v>174</v>
      </c>
      <c r="B36" t="s">
        <v>15</v>
      </c>
      <c r="C36">
        <v>0</v>
      </c>
      <c r="D36">
        <f t="shared" si="1"/>
        <v>7.0422535211267607E-3</v>
      </c>
      <c r="E36">
        <f t="shared" si="2"/>
        <v>4.4265593561368208E-2</v>
      </c>
      <c r="F36">
        <f t="shared" si="3"/>
        <v>7.0925553319919524E-2</v>
      </c>
      <c r="G36">
        <f t="shared" si="4"/>
        <v>0.49899396378269617</v>
      </c>
      <c r="H36">
        <f t="shared" si="5"/>
        <v>0.37877263581488935</v>
      </c>
      <c r="I36">
        <v>14</v>
      </c>
      <c r="J36">
        <v>88</v>
      </c>
      <c r="K36">
        <v>141</v>
      </c>
      <c r="L36">
        <v>992</v>
      </c>
      <c r="M36">
        <v>753</v>
      </c>
      <c r="N36">
        <f t="shared" si="0"/>
        <v>29.396378269617706</v>
      </c>
    </row>
    <row r="37" spans="1:14" x14ac:dyDescent="0.3">
      <c r="A37" t="s">
        <v>174</v>
      </c>
      <c r="B37" t="s">
        <v>15</v>
      </c>
      <c r="C37">
        <v>0</v>
      </c>
      <c r="D37">
        <f t="shared" si="1"/>
        <v>6.3051702395964691E-3</v>
      </c>
      <c r="E37">
        <f t="shared" si="2"/>
        <v>3.467843631778058E-2</v>
      </c>
      <c r="F37">
        <f t="shared" si="3"/>
        <v>5.2332912988650691E-2</v>
      </c>
      <c r="G37">
        <f t="shared" si="4"/>
        <v>0.5271122320302648</v>
      </c>
      <c r="H37">
        <f t="shared" si="5"/>
        <v>0.37957124842370743</v>
      </c>
      <c r="I37">
        <v>10</v>
      </c>
      <c r="J37">
        <v>55</v>
      </c>
      <c r="K37">
        <v>83</v>
      </c>
      <c r="L37">
        <v>836</v>
      </c>
      <c r="M37">
        <v>602</v>
      </c>
      <c r="N37">
        <f t="shared" si="0"/>
        <v>29.477931904161412</v>
      </c>
    </row>
    <row r="38" spans="1:14" x14ac:dyDescent="0.3">
      <c r="A38" t="s">
        <v>174</v>
      </c>
      <c r="B38" t="s">
        <v>15</v>
      </c>
      <c r="C38">
        <v>0</v>
      </c>
      <c r="D38">
        <f t="shared" si="1"/>
        <v>6.1703002879473466E-3</v>
      </c>
      <c r="E38">
        <f t="shared" si="2"/>
        <v>5.1830522418757713E-2</v>
      </c>
      <c r="F38">
        <f t="shared" si="3"/>
        <v>7.8568490333196211E-2</v>
      </c>
      <c r="G38">
        <f t="shared" si="4"/>
        <v>0.51665981077745782</v>
      </c>
      <c r="H38">
        <f t="shared" si="5"/>
        <v>0.34677087618264091</v>
      </c>
      <c r="I38">
        <v>15</v>
      </c>
      <c r="J38">
        <v>126</v>
      </c>
      <c r="K38">
        <v>191</v>
      </c>
      <c r="L38">
        <v>1256</v>
      </c>
      <c r="M38">
        <v>843</v>
      </c>
      <c r="N38">
        <f t="shared" si="0"/>
        <v>29.292060880296177</v>
      </c>
    </row>
    <row r="39" spans="1:14" x14ac:dyDescent="0.3">
      <c r="A39" t="s">
        <v>174</v>
      </c>
      <c r="B39" t="s">
        <v>15</v>
      </c>
      <c r="C39">
        <v>0</v>
      </c>
      <c r="D39">
        <f t="shared" si="1"/>
        <v>7.8377132319041032E-3</v>
      </c>
      <c r="E39">
        <f t="shared" si="2"/>
        <v>2.9045643153526972E-2</v>
      </c>
      <c r="F39">
        <f t="shared" si="3"/>
        <v>5.9935454126325498E-2</v>
      </c>
      <c r="G39">
        <f t="shared" si="4"/>
        <v>0.55278930382664826</v>
      </c>
      <c r="H39">
        <f t="shared" si="5"/>
        <v>0.35039188566159518</v>
      </c>
      <c r="I39">
        <v>17</v>
      </c>
      <c r="J39">
        <v>63</v>
      </c>
      <c r="K39">
        <v>130</v>
      </c>
      <c r="L39">
        <v>1199</v>
      </c>
      <c r="M39">
        <v>760</v>
      </c>
      <c r="N39">
        <f t="shared" si="0"/>
        <v>29.417704011065005</v>
      </c>
    </row>
    <row r="40" spans="1:14" x14ac:dyDescent="0.3">
      <c r="A40" t="s">
        <v>186</v>
      </c>
      <c r="B40" t="s">
        <v>15</v>
      </c>
      <c r="C40">
        <v>0</v>
      </c>
      <c r="D40">
        <v>1.4908109497493893E-3</v>
      </c>
      <c r="E40">
        <v>5.9632437989975574E-3</v>
      </c>
      <c r="F40">
        <v>2.2760570620742836E-2</v>
      </c>
      <c r="G40">
        <v>0.52416141884076595</v>
      </c>
      <c r="H40">
        <v>0.44562395578974423</v>
      </c>
      <c r="I40">
        <v>1.1599999999999999</v>
      </c>
      <c r="J40">
        <v>4.6399999999999997</v>
      </c>
      <c r="K40">
        <v>17.71</v>
      </c>
      <c r="L40">
        <v>407.85</v>
      </c>
      <c r="M40">
        <v>346.74</v>
      </c>
      <c r="N40">
        <f t="shared" si="0"/>
        <v>29.812928929443515</v>
      </c>
    </row>
    <row r="41" spans="1:14" x14ac:dyDescent="0.3">
      <c r="A41" t="s">
        <v>186</v>
      </c>
      <c r="B41" t="s">
        <v>15</v>
      </c>
      <c r="C41">
        <v>0</v>
      </c>
      <c r="D41">
        <v>3.0720536212995716E-3</v>
      </c>
      <c r="E41">
        <v>5.7009867808601747E-2</v>
      </c>
      <c r="F41">
        <v>9.0299757959411656E-2</v>
      </c>
      <c r="G41">
        <v>0.38815862967789982</v>
      </c>
      <c r="H41">
        <v>0.46145969093278716</v>
      </c>
      <c r="I41">
        <v>1.65</v>
      </c>
      <c r="J41">
        <v>30.62</v>
      </c>
      <c r="K41">
        <v>48.5</v>
      </c>
      <c r="L41">
        <v>208.48</v>
      </c>
      <c r="M41">
        <v>247.85</v>
      </c>
      <c r="N41">
        <f t="shared" si="0"/>
        <v>29.495848072984547</v>
      </c>
    </row>
    <row r="42" spans="1:14" x14ac:dyDescent="0.3">
      <c r="A42" t="s">
        <v>186</v>
      </c>
      <c r="B42" t="s">
        <v>15</v>
      </c>
      <c r="C42">
        <v>0</v>
      </c>
      <c r="D42">
        <v>2.3128494891237524E-3</v>
      </c>
      <c r="E42">
        <v>6.6457827092543257E-3</v>
      </c>
      <c r="F42">
        <v>4.3592821383610973E-2</v>
      </c>
      <c r="G42">
        <v>0.34353134057440643</v>
      </c>
      <c r="H42">
        <v>0.60391720584360453</v>
      </c>
      <c r="I42">
        <v>0.79</v>
      </c>
      <c r="J42">
        <v>2.27</v>
      </c>
      <c r="K42">
        <v>14.89</v>
      </c>
      <c r="L42">
        <v>117.34</v>
      </c>
      <c r="M42">
        <v>206.28</v>
      </c>
      <c r="N42">
        <f t="shared" si="0"/>
        <v>30.080188541148228</v>
      </c>
    </row>
    <row r="43" spans="1:14" x14ac:dyDescent="0.3">
      <c r="A43" t="s">
        <v>186</v>
      </c>
      <c r="B43" t="s">
        <v>15</v>
      </c>
      <c r="C43">
        <v>0</v>
      </c>
      <c r="D43">
        <v>3.6021667995710404E-3</v>
      </c>
      <c r="E43">
        <v>1.7433387411664423E-2</v>
      </c>
      <c r="F43">
        <v>9.8055929826491056E-2</v>
      </c>
      <c r="G43">
        <v>0.65454945417548882</v>
      </c>
      <c r="H43">
        <v>0.22635906178678472</v>
      </c>
      <c r="I43">
        <v>1.31</v>
      </c>
      <c r="J43">
        <v>6.34</v>
      </c>
      <c r="K43">
        <v>35.659999999999997</v>
      </c>
      <c r="L43">
        <v>238.04</v>
      </c>
      <c r="M43">
        <v>82.32</v>
      </c>
      <c r="N43">
        <f t="shared" si="0"/>
        <v>29.165259713476502</v>
      </c>
    </row>
    <row r="44" spans="1:14" x14ac:dyDescent="0.3">
      <c r="A44" t="s">
        <v>186</v>
      </c>
      <c r="B44" t="s">
        <v>15</v>
      </c>
      <c r="C44">
        <v>0</v>
      </c>
      <c r="D44">
        <v>1.4882592878403705E-3</v>
      </c>
      <c r="E44">
        <v>5.4569507220813577E-3</v>
      </c>
      <c r="F44">
        <v>3.0647117186638734E-2</v>
      </c>
      <c r="G44">
        <v>0.51493771359276808</v>
      </c>
      <c r="H44">
        <v>0.44746995921067134</v>
      </c>
      <c r="I44">
        <v>0.27</v>
      </c>
      <c r="J44">
        <v>0.99</v>
      </c>
      <c r="K44">
        <v>5.56</v>
      </c>
      <c r="L44">
        <v>93.42</v>
      </c>
      <c r="M44">
        <v>81.180000000000007</v>
      </c>
      <c r="N44">
        <f t="shared" si="0"/>
        <v>29.802888325432697</v>
      </c>
    </row>
    <row r="45" spans="1:14" x14ac:dyDescent="0.3">
      <c r="A45" t="s">
        <v>186</v>
      </c>
      <c r="B45" t="s">
        <v>15</v>
      </c>
      <c r="C45">
        <v>0</v>
      </c>
      <c r="D45">
        <v>2.3297146699971176E-2</v>
      </c>
      <c r="E45">
        <v>4.52493034873667E-2</v>
      </c>
      <c r="F45">
        <v>0.11221058699202613</v>
      </c>
      <c r="G45">
        <v>0.49870304544144484</v>
      </c>
      <c r="H45">
        <v>0.32053991737919107</v>
      </c>
      <c r="I45">
        <v>4.8499999999999996</v>
      </c>
      <c r="J45">
        <v>9.42</v>
      </c>
      <c r="K45">
        <v>23.36</v>
      </c>
      <c r="L45">
        <v>103.82</v>
      </c>
      <c r="M45">
        <v>66.73</v>
      </c>
      <c r="N45">
        <f t="shared" si="0"/>
        <v>29.095878566625036</v>
      </c>
    </row>
    <row r="46" spans="1:14" x14ac:dyDescent="0.3">
      <c r="A46" t="s">
        <v>186</v>
      </c>
      <c r="B46" t="s">
        <v>15</v>
      </c>
      <c r="C46">
        <v>0</v>
      </c>
      <c r="D46">
        <v>1.5954052329291642E-2</v>
      </c>
      <c r="E46">
        <v>4.2511413283589421E-2</v>
      </c>
      <c r="F46">
        <v>0.10568946050758432</v>
      </c>
      <c r="G46">
        <v>0.5335525992832949</v>
      </c>
      <c r="H46">
        <v>0.30229247459623976</v>
      </c>
      <c r="I46">
        <v>3.25</v>
      </c>
      <c r="J46">
        <v>8.66</v>
      </c>
      <c r="K46">
        <v>21.53</v>
      </c>
      <c r="L46">
        <v>108.69</v>
      </c>
      <c r="M46">
        <v>61.58</v>
      </c>
      <c r="N46">
        <f t="shared" si="0"/>
        <v>29.127436061067208</v>
      </c>
    </row>
    <row r="47" spans="1:14" x14ac:dyDescent="0.3">
      <c r="A47" t="s">
        <v>186</v>
      </c>
      <c r="B47" t="s">
        <v>15</v>
      </c>
      <c r="C47">
        <v>0</v>
      </c>
      <c r="D47">
        <v>3.301184542688847E-3</v>
      </c>
      <c r="E47">
        <v>2.0713314777655513E-2</v>
      </c>
      <c r="F47">
        <v>6.7124085701339889E-2</v>
      </c>
      <c r="G47">
        <v>0.53466243769823285</v>
      </c>
      <c r="H47">
        <v>0.37419897728008283</v>
      </c>
      <c r="I47">
        <v>0.51</v>
      </c>
      <c r="J47">
        <v>3.2</v>
      </c>
      <c r="K47">
        <v>10.37</v>
      </c>
      <c r="L47">
        <v>82.6</v>
      </c>
      <c r="M47">
        <v>57.81</v>
      </c>
      <c r="N47">
        <f t="shared" si="0"/>
        <v>29.511489416790727</v>
      </c>
    </row>
    <row r="48" spans="1:14" x14ac:dyDescent="0.3">
      <c r="A48" t="s">
        <v>186</v>
      </c>
      <c r="B48" t="s">
        <v>15</v>
      </c>
      <c r="C48">
        <v>0</v>
      </c>
      <c r="D48">
        <v>2.605190719622493E-3</v>
      </c>
      <c r="E48">
        <v>1.3075108139992134E-2</v>
      </c>
      <c r="F48">
        <v>3.1852143138025951E-2</v>
      </c>
      <c r="G48">
        <v>0.6734172237514745</v>
      </c>
      <c r="H48">
        <v>0.27905033425088477</v>
      </c>
      <c r="I48">
        <v>0.53</v>
      </c>
      <c r="J48">
        <v>2.66</v>
      </c>
      <c r="K48">
        <v>6.48</v>
      </c>
      <c r="L48">
        <v>137</v>
      </c>
      <c r="M48">
        <v>56.77</v>
      </c>
      <c r="N48">
        <f t="shared" si="0"/>
        <v>29.426464805348015</v>
      </c>
    </row>
    <row r="49" spans="1:14" x14ac:dyDescent="0.3">
      <c r="A49" t="s">
        <v>186</v>
      </c>
      <c r="B49" t="s">
        <v>15</v>
      </c>
      <c r="C49">
        <v>0</v>
      </c>
      <c r="D49">
        <v>1.1149368748975243E-2</v>
      </c>
      <c r="E49">
        <v>2.7709460567306117E-2</v>
      </c>
      <c r="F49">
        <v>0.1088703066076406</v>
      </c>
      <c r="G49">
        <v>0.42056074766355139</v>
      </c>
      <c r="H49">
        <v>0.43171011641252666</v>
      </c>
      <c r="I49">
        <v>0.68</v>
      </c>
      <c r="J49">
        <v>1.69</v>
      </c>
      <c r="K49">
        <v>6.64</v>
      </c>
      <c r="L49">
        <v>25.65</v>
      </c>
      <c r="M49">
        <v>26.33</v>
      </c>
      <c r="N49">
        <f t="shared" si="0"/>
        <v>29.467945564846694</v>
      </c>
    </row>
    <row r="50" spans="1:14" x14ac:dyDescent="0.3">
      <c r="A50" t="s">
        <v>186</v>
      </c>
      <c r="B50" t="s">
        <v>15</v>
      </c>
      <c r="C50">
        <v>0</v>
      </c>
      <c r="D50">
        <v>1.6077754564447273E-2</v>
      </c>
      <c r="E50">
        <v>4.8505768007993465E-2</v>
      </c>
      <c r="F50">
        <v>0.20864747025161232</v>
      </c>
      <c r="G50">
        <v>0.50068126078662911</v>
      </c>
      <c r="H50">
        <v>0.22608774638931786</v>
      </c>
      <c r="I50">
        <v>1.77</v>
      </c>
      <c r="J50">
        <v>5.34</v>
      </c>
      <c r="K50">
        <v>22.97</v>
      </c>
      <c r="L50">
        <v>55.12</v>
      </c>
      <c r="M50">
        <v>24.89</v>
      </c>
      <c r="N50">
        <f t="shared" si="0"/>
        <v>28.744390952856754</v>
      </c>
    </row>
    <row r="51" spans="1:14" x14ac:dyDescent="0.3">
      <c r="A51" t="s">
        <v>186</v>
      </c>
      <c r="B51" t="s">
        <v>15</v>
      </c>
      <c r="C51">
        <v>0</v>
      </c>
      <c r="D51">
        <v>9.4932649134060292E-3</v>
      </c>
      <c r="E51">
        <v>3.1686978832584992E-2</v>
      </c>
      <c r="F51">
        <v>0.18447722899294419</v>
      </c>
      <c r="G51">
        <v>0.53867864015394484</v>
      </c>
      <c r="H51">
        <v>0.23566388710711994</v>
      </c>
      <c r="I51">
        <v>0.74</v>
      </c>
      <c r="J51">
        <v>2.4700000000000002</v>
      </c>
      <c r="K51">
        <v>14.38</v>
      </c>
      <c r="L51">
        <v>41.99</v>
      </c>
      <c r="M51">
        <v>18.37</v>
      </c>
      <c r="N51">
        <f t="shared" si="0"/>
        <v>28.918665811417576</v>
      </c>
    </row>
    <row r="52" spans="1:14" x14ac:dyDescent="0.3">
      <c r="A52" t="s">
        <v>186</v>
      </c>
      <c r="B52" t="s">
        <v>15</v>
      </c>
      <c r="C52">
        <v>0</v>
      </c>
      <c r="D52">
        <v>1.1344537815126052E-2</v>
      </c>
      <c r="E52">
        <v>2.7731092436974795E-2</v>
      </c>
      <c r="F52">
        <v>0.10882352941176471</v>
      </c>
      <c r="G52">
        <v>0.42058823529411771</v>
      </c>
      <c r="H52">
        <v>0.43151260504201683</v>
      </c>
      <c r="I52">
        <v>0.27</v>
      </c>
      <c r="J52">
        <v>0.66</v>
      </c>
      <c r="K52">
        <v>2.59</v>
      </c>
      <c r="L52">
        <v>10.01</v>
      </c>
      <c r="M52">
        <v>10.27</v>
      </c>
      <c r="N52">
        <f t="shared" si="0"/>
        <v>29.466386554621852</v>
      </c>
    </row>
    <row r="53" spans="1:14" x14ac:dyDescent="0.3">
      <c r="A53" t="s">
        <v>24</v>
      </c>
      <c r="B53" t="s">
        <v>18</v>
      </c>
      <c r="C53">
        <v>0</v>
      </c>
      <c r="D53">
        <v>5.8687523916220612E-2</v>
      </c>
      <c r="E53">
        <v>0.10983250577447061</v>
      </c>
      <c r="F53">
        <v>0.47275740768915142</v>
      </c>
      <c r="G53">
        <v>0.17479241873095347</v>
      </c>
      <c r="H53">
        <v>0.18393014388920392</v>
      </c>
      <c r="I53">
        <v>2.5459000000000001</v>
      </c>
      <c r="J53">
        <v>4.7645999999999997</v>
      </c>
      <c r="K53">
        <v>20.508500000000002</v>
      </c>
      <c r="L53">
        <v>7.5826000000000002</v>
      </c>
      <c r="M53">
        <v>7.9790000000000001</v>
      </c>
      <c r="N53">
        <f t="shared" si="0"/>
        <v>27.630890305804904</v>
      </c>
    </row>
    <row r="54" spans="1:14" x14ac:dyDescent="0.3">
      <c r="A54" t="s">
        <v>24</v>
      </c>
      <c r="B54" t="s">
        <v>18</v>
      </c>
      <c r="C54">
        <v>0</v>
      </c>
      <c r="D54">
        <v>4.6258325157972353E-2</v>
      </c>
      <c r="E54">
        <v>9.0572843989738666E-2</v>
      </c>
      <c r="F54">
        <v>0.37563904918012814</v>
      </c>
      <c r="G54">
        <v>0.33790848876674939</v>
      </c>
      <c r="H54">
        <v>0.1496212929054116</v>
      </c>
      <c r="I54">
        <v>1.5183</v>
      </c>
      <c r="J54">
        <v>2.9727999999999999</v>
      </c>
      <c r="K54">
        <v>12.3293</v>
      </c>
      <c r="L54">
        <v>11.0909</v>
      </c>
      <c r="M54">
        <v>4.9108999999999998</v>
      </c>
      <c r="N54">
        <f t="shared" si="0"/>
        <v>27.908123160543784</v>
      </c>
    </row>
    <row r="55" spans="1:14" x14ac:dyDescent="0.3">
      <c r="A55" t="s">
        <v>25</v>
      </c>
      <c r="B55" t="s">
        <v>18</v>
      </c>
      <c r="C55">
        <v>0</v>
      </c>
      <c r="D55">
        <v>4.8746901679977958E-2</v>
      </c>
      <c r="E55">
        <v>8.8221793812540153E-2</v>
      </c>
      <c r="F55">
        <v>0.34490039474892131</v>
      </c>
      <c r="G55">
        <v>0.44588267694849903</v>
      </c>
      <c r="H55">
        <v>7.22482328100615E-2</v>
      </c>
      <c r="I55">
        <v>5.31</v>
      </c>
      <c r="J55">
        <v>9.61</v>
      </c>
      <c r="K55">
        <v>37.57</v>
      </c>
      <c r="L55">
        <v>48.57</v>
      </c>
      <c r="M55">
        <v>7.87</v>
      </c>
      <c r="N55">
        <f t="shared" si="0"/>
        <v>27.809327090792252</v>
      </c>
    </row>
    <row r="56" spans="1:14" x14ac:dyDescent="0.3">
      <c r="A56" t="s">
        <v>25</v>
      </c>
      <c r="B56" t="s">
        <v>18</v>
      </c>
      <c r="C56">
        <v>0</v>
      </c>
      <c r="D56">
        <v>1.5718332977047843E-2</v>
      </c>
      <c r="E56">
        <v>5.9950562316789399E-2</v>
      </c>
      <c r="F56">
        <v>0.23026731240340365</v>
      </c>
      <c r="G56">
        <v>0.62569997813144229</v>
      </c>
      <c r="H56">
        <v>6.8363814171316803E-2</v>
      </c>
      <c r="I56">
        <v>1.2794000000000001</v>
      </c>
      <c r="J56">
        <v>4.8796999999999997</v>
      </c>
      <c r="K56">
        <v>18.742699999999999</v>
      </c>
      <c r="L56">
        <v>50.929099999999998</v>
      </c>
      <c r="M56">
        <v>5.5644999999999998</v>
      </c>
      <c r="N56">
        <f t="shared" si="0"/>
        <v>28.342080756406379</v>
      </c>
    </row>
    <row r="57" spans="1:14" x14ac:dyDescent="0.3">
      <c r="A57" t="s">
        <v>25</v>
      </c>
      <c r="B57" t="s">
        <v>18</v>
      </c>
      <c r="C57">
        <v>0</v>
      </c>
      <c r="D57">
        <v>2.8602564069997533E-2</v>
      </c>
      <c r="E57">
        <v>5.5886768392896607E-2</v>
      </c>
      <c r="F57">
        <v>0.22746913031439961</v>
      </c>
      <c r="G57">
        <v>0.59762339618615545</v>
      </c>
      <c r="H57">
        <v>9.0418141036550825E-2</v>
      </c>
      <c r="I57">
        <v>1.1259999999999999</v>
      </c>
      <c r="J57">
        <v>2.2000999999999999</v>
      </c>
      <c r="K57">
        <v>8.9548000000000005</v>
      </c>
      <c r="L57">
        <v>23.526700000000002</v>
      </c>
      <c r="M57">
        <v>3.5594999999999999</v>
      </c>
      <c r="N57">
        <f t="shared" si="0"/>
        <v>28.330735563452727</v>
      </c>
    </row>
    <row r="58" spans="1:14" x14ac:dyDescent="0.3">
      <c r="A58" t="s">
        <v>109</v>
      </c>
      <c r="B58" t="s">
        <v>15</v>
      </c>
      <c r="C58">
        <v>0</v>
      </c>
      <c r="D58">
        <v>0.11462108745916852</v>
      </c>
      <c r="E58">
        <v>0.21628837982828855</v>
      </c>
      <c r="F58">
        <v>0.480344756204103</v>
      </c>
      <c r="G58">
        <v>9.8788476315115448E-2</v>
      </c>
      <c r="H58">
        <v>8.9957300193324513E-2</v>
      </c>
      <c r="I58">
        <v>653.37</v>
      </c>
      <c r="J58">
        <v>1232.9000000000001</v>
      </c>
      <c r="K58">
        <v>2738.09</v>
      </c>
      <c r="L58">
        <v>563.12</v>
      </c>
      <c r="M58">
        <v>512.78</v>
      </c>
      <c r="N58">
        <f t="shared" si="0"/>
        <v>26.66634504391028</v>
      </c>
    </row>
    <row r="59" spans="1:14" x14ac:dyDescent="0.3">
      <c r="A59" t="s">
        <v>110</v>
      </c>
      <c r="B59" t="s">
        <v>15</v>
      </c>
      <c r="C59">
        <v>0</v>
      </c>
      <c r="D59">
        <v>7.5853064245838767E-3</v>
      </c>
      <c r="E59">
        <v>0.16987673105986612</v>
      </c>
      <c r="F59">
        <v>0.4809976662177306</v>
      </c>
      <c r="G59">
        <v>0.10707228556447716</v>
      </c>
      <c r="H59">
        <v>0.23446801073334222</v>
      </c>
      <c r="I59">
        <v>36.89</v>
      </c>
      <c r="J59">
        <v>826.17</v>
      </c>
      <c r="K59">
        <v>2339.2600000000002</v>
      </c>
      <c r="L59">
        <v>520.73</v>
      </c>
      <c r="M59">
        <v>1140.3</v>
      </c>
      <c r="N59">
        <f t="shared" si="0"/>
        <v>27.781921926244259</v>
      </c>
    </row>
    <row r="60" spans="1:14" x14ac:dyDescent="0.3">
      <c r="A60" t="s">
        <v>26</v>
      </c>
      <c r="B60" t="s">
        <v>15</v>
      </c>
      <c r="C60">
        <v>0</v>
      </c>
      <c r="D60">
        <v>2.5994054670213006E-2</v>
      </c>
      <c r="E60">
        <v>6.0232784247111155E-2</v>
      </c>
      <c r="F60">
        <v>0.36050546478621398</v>
      </c>
      <c r="G60">
        <v>0.16278692921481416</v>
      </c>
      <c r="H60">
        <v>0.39048076708164775</v>
      </c>
      <c r="I60">
        <v>93.04</v>
      </c>
      <c r="J60">
        <v>215.59</v>
      </c>
      <c r="K60">
        <v>1290.3499999999999</v>
      </c>
      <c r="L60">
        <v>582.66</v>
      </c>
      <c r="M60">
        <v>1397.64</v>
      </c>
      <c r="N60">
        <f t="shared" si="0"/>
        <v>28.663055139581147</v>
      </c>
    </row>
    <row r="61" spans="1:14" x14ac:dyDescent="0.3">
      <c r="A61" t="s">
        <v>26</v>
      </c>
      <c r="B61" t="s">
        <v>15</v>
      </c>
      <c r="C61">
        <v>0</v>
      </c>
      <c r="D61">
        <v>7.1698627337443366E-2</v>
      </c>
      <c r="E61">
        <v>0.11024728362682651</v>
      </c>
      <c r="F61">
        <v>0.34673353997070738</v>
      </c>
      <c r="G61">
        <v>0.15592322626792465</v>
      </c>
      <c r="H61">
        <v>0.31539732279709792</v>
      </c>
      <c r="I61">
        <v>84.2</v>
      </c>
      <c r="J61">
        <v>129.47</v>
      </c>
      <c r="K61">
        <v>407.19</v>
      </c>
      <c r="L61">
        <v>183.11</v>
      </c>
      <c r="M61">
        <v>370.39</v>
      </c>
      <c r="N61">
        <f t="shared" si="0"/>
        <v>28.066146667120815</v>
      </c>
    </row>
    <row r="62" spans="1:14" x14ac:dyDescent="0.3">
      <c r="A62" t="s">
        <v>26</v>
      </c>
      <c r="B62" t="s">
        <v>15</v>
      </c>
      <c r="C62">
        <v>0</v>
      </c>
      <c r="D62">
        <v>5.0564672666313745E-2</v>
      </c>
      <c r="E62">
        <v>0.11667548967707782</v>
      </c>
      <c r="F62">
        <v>0.37637197811893414</v>
      </c>
      <c r="G62">
        <v>0.13892712193400389</v>
      </c>
      <c r="H62">
        <v>0.31746073760367033</v>
      </c>
      <c r="I62">
        <v>57.31</v>
      </c>
      <c r="J62">
        <v>132.24</v>
      </c>
      <c r="K62">
        <v>426.58</v>
      </c>
      <c r="L62">
        <v>157.46</v>
      </c>
      <c r="M62">
        <v>359.81</v>
      </c>
      <c r="N62">
        <f t="shared" si="0"/>
        <v>28.112087524263274</v>
      </c>
    </row>
    <row r="63" spans="1:14" x14ac:dyDescent="0.3">
      <c r="A63" t="s">
        <v>26</v>
      </c>
      <c r="B63" t="s">
        <v>15</v>
      </c>
      <c r="C63">
        <v>0</v>
      </c>
      <c r="D63">
        <v>6.895264123811265E-2</v>
      </c>
      <c r="E63">
        <v>0.11113141440704223</v>
      </c>
      <c r="F63">
        <v>0.41952347281697633</v>
      </c>
      <c r="G63">
        <v>0.16058759503928688</v>
      </c>
      <c r="H63">
        <v>0.23980487649858181</v>
      </c>
      <c r="I63">
        <v>86.79</v>
      </c>
      <c r="J63">
        <v>139.88</v>
      </c>
      <c r="K63">
        <v>528.04999999999995</v>
      </c>
      <c r="L63">
        <v>202.13</v>
      </c>
      <c r="M63">
        <v>301.83999999999997</v>
      </c>
      <c r="N63">
        <f t="shared" si="0"/>
        <v>27.782321302306368</v>
      </c>
    </row>
    <row r="64" spans="1:14" x14ac:dyDescent="0.3">
      <c r="A64" t="s">
        <v>26</v>
      </c>
      <c r="B64" t="s">
        <v>15</v>
      </c>
      <c r="C64">
        <v>0</v>
      </c>
      <c r="D64">
        <v>5.2393006416671585E-2</v>
      </c>
      <c r="E64">
        <v>9.1143227173721086E-2</v>
      </c>
      <c r="F64">
        <v>0.42628186260081241</v>
      </c>
      <c r="G64">
        <v>0.16247718843821748</v>
      </c>
      <c r="H64">
        <v>0.26770471537057755</v>
      </c>
      <c r="I64">
        <v>35.6</v>
      </c>
      <c r="J64">
        <v>61.93</v>
      </c>
      <c r="K64">
        <v>289.64999999999998</v>
      </c>
      <c r="L64">
        <v>110.4</v>
      </c>
      <c r="M64">
        <v>181.9</v>
      </c>
      <c r="N64">
        <f t="shared" si="0"/>
        <v>28.003914758344621</v>
      </c>
    </row>
    <row r="65" spans="1:14" x14ac:dyDescent="0.3">
      <c r="A65" t="s">
        <v>26</v>
      </c>
      <c r="B65" t="s">
        <v>15</v>
      </c>
      <c r="C65">
        <v>0</v>
      </c>
      <c r="D65">
        <v>4.5869697584737162E-2</v>
      </c>
      <c r="E65">
        <v>8.6191732629727347E-2</v>
      </c>
      <c r="F65">
        <v>0.53183140518232863</v>
      </c>
      <c r="G65">
        <v>0.15222244773695962</v>
      </c>
      <c r="H65">
        <v>0.18388471686624722</v>
      </c>
      <c r="I65">
        <v>6.78</v>
      </c>
      <c r="J65">
        <v>12.74</v>
      </c>
      <c r="K65">
        <v>78.61</v>
      </c>
      <c r="L65">
        <v>22.5</v>
      </c>
      <c r="M65">
        <v>27.18</v>
      </c>
      <c r="N65">
        <f t="shared" si="0"/>
        <v>27.684121507340507</v>
      </c>
    </row>
    <row r="66" spans="1:14" x14ac:dyDescent="0.3">
      <c r="A66" t="s">
        <v>190</v>
      </c>
      <c r="B66" t="s">
        <v>15</v>
      </c>
      <c r="C66">
        <v>0</v>
      </c>
      <c r="D66">
        <v>0</v>
      </c>
      <c r="E66">
        <v>0.23</v>
      </c>
      <c r="F66">
        <v>0.72</v>
      </c>
      <c r="G66">
        <v>0.05</v>
      </c>
      <c r="H66">
        <v>0</v>
      </c>
      <c r="I66">
        <v>0</v>
      </c>
      <c r="J66">
        <v>963.21699999999998</v>
      </c>
      <c r="K66">
        <v>3015.2879999999996</v>
      </c>
      <c r="L66">
        <v>209.39499999999998</v>
      </c>
      <c r="M66">
        <v>0</v>
      </c>
      <c r="N66">
        <f>(D66*23+E66*25+F66*27+G66*29+H66*31)/SUM(D66:H66)</f>
        <v>26.639999999999997</v>
      </c>
    </row>
    <row r="67" spans="1:14" x14ac:dyDescent="0.3">
      <c r="A67" t="s">
        <v>27</v>
      </c>
      <c r="B67" t="s">
        <v>15</v>
      </c>
      <c r="C67">
        <v>0</v>
      </c>
      <c r="D67">
        <v>9.8858773181169757E-2</v>
      </c>
      <c r="E67">
        <v>0.1601997146932953</v>
      </c>
      <c r="F67">
        <v>0.26019971469329528</v>
      </c>
      <c r="G67">
        <v>0.2399429386590585</v>
      </c>
      <c r="H67">
        <v>0.24079885877318116</v>
      </c>
      <c r="I67">
        <v>693</v>
      </c>
      <c r="J67">
        <v>1123</v>
      </c>
      <c r="K67">
        <v>1824</v>
      </c>
      <c r="L67">
        <v>1682</v>
      </c>
      <c r="M67">
        <v>1688</v>
      </c>
      <c r="N67">
        <f t="shared" ref="N67:N133" si="6">(D67*23+E67*25+F67*27+G67*29+H67*31)/SUM(D67:H67)</f>
        <v>27.727246790299574</v>
      </c>
    </row>
    <row r="68" spans="1:14" x14ac:dyDescent="0.3">
      <c r="A68" t="s">
        <v>27</v>
      </c>
      <c r="B68" t="s">
        <v>15</v>
      </c>
      <c r="C68">
        <v>0</v>
      </c>
      <c r="D68">
        <v>2.5973841240940813E-2</v>
      </c>
      <c r="E68">
        <v>9.3714216624111862E-2</v>
      </c>
      <c r="F68">
        <v>0.27063433923884983</v>
      </c>
      <c r="G68">
        <v>0.17463354266978659</v>
      </c>
      <c r="H68">
        <v>0.43504406022631098</v>
      </c>
      <c r="I68">
        <v>73.040000000000006</v>
      </c>
      <c r="J68">
        <v>263.52999999999997</v>
      </c>
      <c r="K68">
        <v>761.04</v>
      </c>
      <c r="L68">
        <v>491.08</v>
      </c>
      <c r="M68">
        <v>1223.3699999999999</v>
      </c>
      <c r="N68">
        <f t="shared" si="6"/>
        <v>28.798119528032835</v>
      </c>
    </row>
    <row r="69" spans="1:14" x14ac:dyDescent="0.3">
      <c r="A69" t="s">
        <v>27</v>
      </c>
      <c r="B69" t="s">
        <v>15</v>
      </c>
      <c r="C69">
        <v>0</v>
      </c>
      <c r="D69">
        <v>0</v>
      </c>
      <c r="E69">
        <v>1.6681728002659102E-2</v>
      </c>
      <c r="F69">
        <v>0.1890768959105876</v>
      </c>
      <c r="G69">
        <v>0.24669429642786658</v>
      </c>
      <c r="H69">
        <v>0.54754707965888672</v>
      </c>
      <c r="I69">
        <v>0</v>
      </c>
      <c r="J69">
        <v>32.119999999999997</v>
      </c>
      <c r="K69">
        <v>364.06</v>
      </c>
      <c r="L69">
        <v>475</v>
      </c>
      <c r="M69">
        <v>1054.28</v>
      </c>
      <c r="N69">
        <f t="shared" si="6"/>
        <v>29.650213455485961</v>
      </c>
    </row>
    <row r="70" spans="1:14" x14ac:dyDescent="0.3">
      <c r="A70" t="s">
        <v>27</v>
      </c>
      <c r="B70" t="s">
        <v>15</v>
      </c>
      <c r="C70">
        <v>0</v>
      </c>
      <c r="D70">
        <v>7.6742808580773101E-3</v>
      </c>
      <c r="E70">
        <v>4.1569021314585432E-2</v>
      </c>
      <c r="F70">
        <v>0.36903075721287976</v>
      </c>
      <c r="G70">
        <v>0.2130085069489154</v>
      </c>
      <c r="H70">
        <v>0.36871743366554216</v>
      </c>
      <c r="I70">
        <v>17.88</v>
      </c>
      <c r="J70">
        <v>96.85</v>
      </c>
      <c r="K70">
        <v>859.79</v>
      </c>
      <c r="L70">
        <v>496.28</v>
      </c>
      <c r="M70">
        <v>859.06</v>
      </c>
      <c r="N70">
        <f t="shared" si="6"/>
        <v>28.78705158249852</v>
      </c>
    </row>
    <row r="71" spans="1:14" x14ac:dyDescent="0.3">
      <c r="A71" t="s">
        <v>27</v>
      </c>
      <c r="B71" t="s">
        <v>15</v>
      </c>
      <c r="C71">
        <v>0</v>
      </c>
      <c r="D71">
        <v>2.5133681027593082E-2</v>
      </c>
      <c r="E71">
        <v>5.8176994504453287E-2</v>
      </c>
      <c r="F71">
        <v>0.38048215801138657</v>
      </c>
      <c r="G71">
        <v>0.22897973980604924</v>
      </c>
      <c r="H71">
        <v>0.30722742665051783</v>
      </c>
      <c r="I71">
        <v>61.01</v>
      </c>
      <c r="J71">
        <v>141.22</v>
      </c>
      <c r="K71">
        <v>923.59</v>
      </c>
      <c r="L71">
        <v>555.83000000000004</v>
      </c>
      <c r="M71">
        <v>745.77</v>
      </c>
      <c r="N71">
        <f t="shared" si="6"/>
        <v>28.469980473094893</v>
      </c>
    </row>
    <row r="72" spans="1:14" x14ac:dyDescent="0.3">
      <c r="A72" t="s">
        <v>27</v>
      </c>
      <c r="B72" t="s">
        <v>15</v>
      </c>
      <c r="C72">
        <v>0</v>
      </c>
      <c r="D72">
        <v>1.0894082641455104E-2</v>
      </c>
      <c r="E72">
        <v>5.928396602198014E-2</v>
      </c>
      <c r="F72">
        <v>0.41075490713634405</v>
      </c>
      <c r="G72">
        <v>0.17725200364735808</v>
      </c>
      <c r="H72">
        <v>0.34181504055286271</v>
      </c>
      <c r="I72">
        <v>22.7</v>
      </c>
      <c r="J72">
        <v>123.53</v>
      </c>
      <c r="K72">
        <v>855.89</v>
      </c>
      <c r="L72">
        <v>369.34</v>
      </c>
      <c r="M72">
        <v>712.24</v>
      </c>
      <c r="N72">
        <f t="shared" si="6"/>
        <v>28.559619906896387</v>
      </c>
    </row>
    <row r="73" spans="1:14" x14ac:dyDescent="0.3">
      <c r="A73" t="s">
        <v>27</v>
      </c>
      <c r="B73" t="s">
        <v>15</v>
      </c>
      <c r="C73">
        <v>0</v>
      </c>
      <c r="D73">
        <v>0</v>
      </c>
      <c r="E73">
        <v>4.5969382917739381E-2</v>
      </c>
      <c r="F73">
        <v>0.23783302823218805</v>
      </c>
      <c r="G73">
        <v>0.20424759140271162</v>
      </c>
      <c r="H73">
        <v>0.51194999744736092</v>
      </c>
      <c r="I73">
        <v>0</v>
      </c>
      <c r="J73">
        <v>63.03</v>
      </c>
      <c r="K73">
        <v>326.10000000000002</v>
      </c>
      <c r="L73">
        <v>280.05</v>
      </c>
      <c r="M73">
        <v>701.95</v>
      </c>
      <c r="N73">
        <f t="shared" si="6"/>
        <v>29.364356406759384</v>
      </c>
    </row>
    <row r="74" spans="1:14" x14ac:dyDescent="0.3">
      <c r="A74" t="s">
        <v>27</v>
      </c>
      <c r="B74" t="s">
        <v>15</v>
      </c>
      <c r="C74">
        <v>0</v>
      </c>
      <c r="D74">
        <v>1.6079527682202065E-2</v>
      </c>
      <c r="E74">
        <v>7.9688966218329688E-2</v>
      </c>
      <c r="F74">
        <v>0.38200852361588994</v>
      </c>
      <c r="G74">
        <v>0.19445964967156709</v>
      </c>
      <c r="H74">
        <v>0.32776333281201125</v>
      </c>
      <c r="I74">
        <v>32.9</v>
      </c>
      <c r="J74">
        <v>163.05000000000001</v>
      </c>
      <c r="K74">
        <v>781.62</v>
      </c>
      <c r="L74">
        <v>397.88</v>
      </c>
      <c r="M74">
        <v>670.63</v>
      </c>
      <c r="N74">
        <f t="shared" si="6"/>
        <v>28.476276587425716</v>
      </c>
    </row>
    <row r="75" spans="1:14" x14ac:dyDescent="0.3">
      <c r="A75" t="s">
        <v>27</v>
      </c>
      <c r="B75" t="s">
        <v>15</v>
      </c>
      <c r="C75">
        <v>0</v>
      </c>
      <c r="D75">
        <v>0</v>
      </c>
      <c r="E75">
        <v>5.7189737470167069E-2</v>
      </c>
      <c r="F75">
        <v>0.23658263723150358</v>
      </c>
      <c r="G75">
        <v>0.21364110978520287</v>
      </c>
      <c r="H75">
        <v>0.49258651551312654</v>
      </c>
      <c r="I75">
        <v>0</v>
      </c>
      <c r="J75">
        <v>76.680000000000007</v>
      </c>
      <c r="K75">
        <v>317.20999999999998</v>
      </c>
      <c r="L75">
        <v>286.45</v>
      </c>
      <c r="M75">
        <v>660.46</v>
      </c>
      <c r="N75">
        <f t="shared" si="6"/>
        <v>29.283248806682579</v>
      </c>
    </row>
    <row r="76" spans="1:14" x14ac:dyDescent="0.3">
      <c r="A76" t="s">
        <v>27</v>
      </c>
      <c r="B76" t="s">
        <v>15</v>
      </c>
      <c r="C76">
        <v>0</v>
      </c>
      <c r="D76">
        <v>0</v>
      </c>
      <c r="E76">
        <v>5.0985723997280769E-2</v>
      </c>
      <c r="F76">
        <v>0.35831586990353448</v>
      </c>
      <c r="G76">
        <v>0.22852840873976776</v>
      </c>
      <c r="H76">
        <v>0.36216999735941707</v>
      </c>
      <c r="I76">
        <v>0</v>
      </c>
      <c r="J76">
        <v>90.75</v>
      </c>
      <c r="K76">
        <v>637.77</v>
      </c>
      <c r="L76">
        <v>406.76</v>
      </c>
      <c r="M76">
        <v>644.63</v>
      </c>
      <c r="N76">
        <f t="shared" si="6"/>
        <v>28.803765358922643</v>
      </c>
    </row>
    <row r="77" spans="1:14" x14ac:dyDescent="0.3">
      <c r="A77" t="s">
        <v>27</v>
      </c>
      <c r="B77" t="s">
        <v>15</v>
      </c>
      <c r="C77">
        <v>0</v>
      </c>
      <c r="D77">
        <v>1.3277732007629196E-2</v>
      </c>
      <c r="E77">
        <v>7.4621643888180406E-2</v>
      </c>
      <c r="F77">
        <v>0.38908325527328541</v>
      </c>
      <c r="G77">
        <v>0.19847190402564135</v>
      </c>
      <c r="H77">
        <v>0.32454546480526369</v>
      </c>
      <c r="I77">
        <v>23.53</v>
      </c>
      <c r="J77">
        <v>132.24</v>
      </c>
      <c r="K77">
        <v>689.51</v>
      </c>
      <c r="L77">
        <v>351.72</v>
      </c>
      <c r="M77">
        <v>575.14</v>
      </c>
      <c r="N77">
        <f t="shared" si="6"/>
        <v>28.492771451465465</v>
      </c>
    </row>
    <row r="78" spans="1:14" x14ac:dyDescent="0.3">
      <c r="A78" t="s">
        <v>27</v>
      </c>
      <c r="B78" t="s">
        <v>15</v>
      </c>
      <c r="C78">
        <v>0</v>
      </c>
      <c r="D78">
        <v>0</v>
      </c>
      <c r="E78">
        <v>8.1469482810302293E-2</v>
      </c>
      <c r="F78">
        <v>0.37783324494454562</v>
      </c>
      <c r="G78">
        <v>0.21413913163780579</v>
      </c>
      <c r="H78">
        <v>0.32655814060734623</v>
      </c>
      <c r="I78">
        <v>0</v>
      </c>
      <c r="J78">
        <v>141.33000000000001</v>
      </c>
      <c r="K78">
        <v>655.45</v>
      </c>
      <c r="L78">
        <v>371.48</v>
      </c>
      <c r="M78">
        <v>566.5</v>
      </c>
      <c r="N78">
        <f t="shared" si="6"/>
        <v>28.57157186008439</v>
      </c>
    </row>
    <row r="79" spans="1:14" x14ac:dyDescent="0.3">
      <c r="A79" t="s">
        <v>27</v>
      </c>
      <c r="B79" t="s">
        <v>15</v>
      </c>
      <c r="C79">
        <v>0</v>
      </c>
      <c r="D79">
        <v>6.2661486814083811E-3</v>
      </c>
      <c r="E79">
        <v>3.373655171567274E-2</v>
      </c>
      <c r="F79">
        <v>0.42510387322863158</v>
      </c>
      <c r="G79">
        <v>0.19785932158660605</v>
      </c>
      <c r="H79">
        <v>0.33703410478768131</v>
      </c>
      <c r="I79">
        <v>10.210000000000001</v>
      </c>
      <c r="J79">
        <v>54.97</v>
      </c>
      <c r="K79">
        <v>692.66</v>
      </c>
      <c r="L79">
        <v>322.39</v>
      </c>
      <c r="M79">
        <v>549.16</v>
      </c>
      <c r="N79">
        <f t="shared" si="6"/>
        <v>28.65131736416696</v>
      </c>
    </row>
    <row r="80" spans="1:14" x14ac:dyDescent="0.3">
      <c r="A80" t="s">
        <v>27</v>
      </c>
      <c r="B80" t="s">
        <v>15</v>
      </c>
      <c r="C80">
        <v>0</v>
      </c>
      <c r="D80">
        <v>0</v>
      </c>
      <c r="E80">
        <v>5.9907278702223218E-2</v>
      </c>
      <c r="F80">
        <v>0.24575161298098167</v>
      </c>
      <c r="G80">
        <v>0.25365783109297035</v>
      </c>
      <c r="H80">
        <v>0.44068327722382467</v>
      </c>
      <c r="I80">
        <v>0</v>
      </c>
      <c r="J80">
        <v>74.56</v>
      </c>
      <c r="K80">
        <v>305.86</v>
      </c>
      <c r="L80">
        <v>315.7</v>
      </c>
      <c r="M80">
        <v>548.47</v>
      </c>
      <c r="N80">
        <f t="shared" si="6"/>
        <v>29.150234213676789</v>
      </c>
    </row>
    <row r="81" spans="1:14" x14ac:dyDescent="0.3">
      <c r="A81" t="s">
        <v>27</v>
      </c>
      <c r="B81" t="s">
        <v>15</v>
      </c>
      <c r="C81">
        <v>0</v>
      </c>
      <c r="D81">
        <v>0</v>
      </c>
      <c r="E81">
        <v>3.6019369933075793E-2</v>
      </c>
      <c r="F81">
        <v>0.24149844931715544</v>
      </c>
      <c r="G81">
        <v>0.26329869234815101</v>
      </c>
      <c r="H81">
        <v>0.45918348840161782</v>
      </c>
      <c r="I81">
        <v>0</v>
      </c>
      <c r="J81">
        <v>39.72</v>
      </c>
      <c r="K81">
        <v>266.31</v>
      </c>
      <c r="L81">
        <v>290.35000000000002</v>
      </c>
      <c r="M81">
        <v>506.36</v>
      </c>
      <c r="N81">
        <f t="shared" si="6"/>
        <v>29.291292598436623</v>
      </c>
    </row>
    <row r="82" spans="1:14" x14ac:dyDescent="0.3">
      <c r="A82" t="s">
        <v>27</v>
      </c>
      <c r="B82" t="s">
        <v>15</v>
      </c>
      <c r="C82">
        <v>0</v>
      </c>
      <c r="D82">
        <v>0</v>
      </c>
      <c r="E82">
        <v>4.5766147932877095E-2</v>
      </c>
      <c r="F82">
        <v>0.43275991375269524</v>
      </c>
      <c r="G82">
        <v>0.23248687541014343</v>
      </c>
      <c r="H82">
        <v>0.28898706290428428</v>
      </c>
      <c r="I82">
        <v>0</v>
      </c>
      <c r="J82">
        <v>78.11</v>
      </c>
      <c r="K82">
        <v>738.6</v>
      </c>
      <c r="L82">
        <v>396.79</v>
      </c>
      <c r="M82">
        <v>493.22</v>
      </c>
      <c r="N82">
        <f t="shared" si="6"/>
        <v>28.529389706571671</v>
      </c>
    </row>
    <row r="83" spans="1:14" x14ac:dyDescent="0.3">
      <c r="A83" t="s">
        <v>27</v>
      </c>
      <c r="B83" t="s">
        <v>15</v>
      </c>
      <c r="C83">
        <v>0</v>
      </c>
      <c r="D83">
        <v>0</v>
      </c>
      <c r="E83">
        <v>3.9287173281330696E-2</v>
      </c>
      <c r="F83">
        <v>0.36302673870985153</v>
      </c>
      <c r="G83">
        <v>0.23212344974833701</v>
      </c>
      <c r="H83">
        <v>0.36556263826048085</v>
      </c>
      <c r="I83">
        <v>0</v>
      </c>
      <c r="J83">
        <v>50.97</v>
      </c>
      <c r="K83">
        <v>470.98</v>
      </c>
      <c r="L83">
        <v>301.14999999999998</v>
      </c>
      <c r="M83">
        <v>474.27</v>
      </c>
      <c r="N83">
        <f t="shared" si="6"/>
        <v>28.847923105975937</v>
      </c>
    </row>
    <row r="84" spans="1:14" x14ac:dyDescent="0.3">
      <c r="A84" t="s">
        <v>27</v>
      </c>
      <c r="B84" t="s">
        <v>15</v>
      </c>
      <c r="C84">
        <v>0</v>
      </c>
      <c r="D84">
        <v>9.1420169520844141E-3</v>
      </c>
      <c r="E84">
        <v>4.75177304964539E-2</v>
      </c>
      <c r="F84">
        <v>0.33683618751081124</v>
      </c>
      <c r="G84">
        <v>0.2097560975609756</v>
      </c>
      <c r="H84">
        <v>0.39674796747967478</v>
      </c>
      <c r="I84">
        <v>10.57</v>
      </c>
      <c r="J84">
        <v>54.94</v>
      </c>
      <c r="K84">
        <v>389.45</v>
      </c>
      <c r="L84">
        <v>242.52</v>
      </c>
      <c r="M84">
        <v>458.72</v>
      </c>
      <c r="N84">
        <f t="shared" si="6"/>
        <v>28.874900536239405</v>
      </c>
    </row>
    <row r="85" spans="1:14" x14ac:dyDescent="0.3">
      <c r="A85" t="s">
        <v>27</v>
      </c>
      <c r="B85" t="s">
        <v>15</v>
      </c>
      <c r="C85">
        <v>0</v>
      </c>
      <c r="D85">
        <v>1.6669516926040271E-2</v>
      </c>
      <c r="E85">
        <v>5.8253301050395584E-2</v>
      </c>
      <c r="F85">
        <v>0.31663081340401972</v>
      </c>
      <c r="G85">
        <v>0.22288728274272959</v>
      </c>
      <c r="H85">
        <v>0.38555908587681481</v>
      </c>
      <c r="I85">
        <v>18.52</v>
      </c>
      <c r="J85">
        <v>64.72</v>
      </c>
      <c r="K85">
        <v>351.78</v>
      </c>
      <c r="L85">
        <v>247.63</v>
      </c>
      <c r="M85">
        <v>428.36</v>
      </c>
      <c r="N85">
        <f t="shared" si="6"/>
        <v>28.804826239187765</v>
      </c>
    </row>
    <row r="86" spans="1:14" x14ac:dyDescent="0.3">
      <c r="A86" t="s">
        <v>27</v>
      </c>
      <c r="B86" t="s">
        <v>15</v>
      </c>
      <c r="C86">
        <v>0</v>
      </c>
      <c r="D86">
        <v>4.2484156199005731E-2</v>
      </c>
      <c r="E86">
        <v>7.4665098098743887E-2</v>
      </c>
      <c r="F86">
        <v>0.16039239497552277</v>
      </c>
      <c r="G86">
        <v>0.21682289097187962</v>
      </c>
      <c r="H86">
        <v>0.50563545975484803</v>
      </c>
      <c r="I86">
        <v>22.39</v>
      </c>
      <c r="J86">
        <v>39.35</v>
      </c>
      <c r="K86">
        <v>84.53</v>
      </c>
      <c r="L86">
        <v>114.27</v>
      </c>
      <c r="M86">
        <v>266.48</v>
      </c>
      <c r="N86">
        <f t="shared" si="6"/>
        <v>29.136920799969644</v>
      </c>
    </row>
    <row r="87" spans="1:14" x14ac:dyDescent="0.3">
      <c r="A87" t="s">
        <v>27</v>
      </c>
      <c r="B87" t="s">
        <v>15</v>
      </c>
      <c r="C87">
        <v>0</v>
      </c>
      <c r="D87">
        <v>3.8949847762394435E-2</v>
      </c>
      <c r="E87">
        <v>6.7137741521610075E-2</v>
      </c>
      <c r="F87">
        <v>0.21303690086363722</v>
      </c>
      <c r="G87">
        <v>0.26732540548821354</v>
      </c>
      <c r="H87">
        <v>0.41355010436414469</v>
      </c>
      <c r="I87">
        <v>20.34</v>
      </c>
      <c r="J87">
        <v>35.06</v>
      </c>
      <c r="K87">
        <v>111.25</v>
      </c>
      <c r="L87">
        <v>139.6</v>
      </c>
      <c r="M87">
        <v>215.96</v>
      </c>
      <c r="N87">
        <f t="shared" si="6"/>
        <v>28.898776354340207</v>
      </c>
    </row>
    <row r="88" spans="1:14" x14ac:dyDescent="0.3">
      <c r="A88" t="s">
        <v>27</v>
      </c>
      <c r="B88" t="s">
        <v>15</v>
      </c>
      <c r="C88">
        <v>0</v>
      </c>
      <c r="D88">
        <v>0.13567132883246158</v>
      </c>
      <c r="E88">
        <v>0.1237586119495841</v>
      </c>
      <c r="F88">
        <v>0.12668494665775709</v>
      </c>
      <c r="G88">
        <v>0.2029539851148644</v>
      </c>
      <c r="H88">
        <v>0.41093112744533283</v>
      </c>
      <c r="I88">
        <v>58.88</v>
      </c>
      <c r="J88">
        <v>53.71</v>
      </c>
      <c r="K88">
        <v>54.98</v>
      </c>
      <c r="L88">
        <v>88.08</v>
      </c>
      <c r="M88">
        <v>178.34</v>
      </c>
      <c r="N88">
        <f t="shared" si="6"/>
        <v>28.259429940782045</v>
      </c>
    </row>
    <row r="89" spans="1:14" x14ac:dyDescent="0.3">
      <c r="A89" t="s">
        <v>27</v>
      </c>
      <c r="B89" t="s">
        <v>15</v>
      </c>
      <c r="C89">
        <v>0</v>
      </c>
      <c r="D89">
        <v>9.9714595455651686E-2</v>
      </c>
      <c r="E89">
        <v>0.13201619504856305</v>
      </c>
      <c r="F89">
        <v>0.16555676010531209</v>
      </c>
      <c r="G89">
        <v>0.23777074714042348</v>
      </c>
      <c r="H89">
        <v>0.36494170225004979</v>
      </c>
      <c r="I89">
        <v>45.07</v>
      </c>
      <c r="J89">
        <v>59.67</v>
      </c>
      <c r="K89">
        <v>74.83</v>
      </c>
      <c r="L89">
        <v>107.47</v>
      </c>
      <c r="M89">
        <v>164.95</v>
      </c>
      <c r="N89">
        <f t="shared" si="6"/>
        <v>28.272417531361313</v>
      </c>
    </row>
    <row r="90" spans="1:14" x14ac:dyDescent="0.3">
      <c r="A90" t="s">
        <v>27</v>
      </c>
      <c r="B90" t="s">
        <v>15</v>
      </c>
      <c r="C90">
        <v>0</v>
      </c>
      <c r="D90">
        <v>6.3584972847858995E-2</v>
      </c>
      <c r="E90">
        <v>0.1887518917475296</v>
      </c>
      <c r="F90">
        <v>0.22342651117243836</v>
      </c>
      <c r="G90">
        <v>0.16678536455087689</v>
      </c>
      <c r="H90">
        <v>0.35745125968129621</v>
      </c>
      <c r="I90">
        <v>28.57</v>
      </c>
      <c r="J90">
        <v>84.81</v>
      </c>
      <c r="K90">
        <v>100.39</v>
      </c>
      <c r="L90">
        <v>74.94</v>
      </c>
      <c r="M90">
        <v>160.61000000000001</v>
      </c>
      <c r="N90">
        <f t="shared" si="6"/>
        <v>28.131532092940446</v>
      </c>
    </row>
    <row r="91" spans="1:14" x14ac:dyDescent="0.3">
      <c r="A91" t="s">
        <v>27</v>
      </c>
      <c r="B91" t="s">
        <v>15</v>
      </c>
      <c r="C91">
        <v>0</v>
      </c>
      <c r="D91">
        <v>0.12641966906291208</v>
      </c>
      <c r="E91">
        <v>0.10806499638436345</v>
      </c>
      <c r="F91">
        <v>0.24954272831681487</v>
      </c>
      <c r="G91">
        <v>0.18773661151048535</v>
      </c>
      <c r="H91">
        <v>0.32823599472542436</v>
      </c>
      <c r="I91">
        <v>59.44</v>
      </c>
      <c r="J91">
        <v>50.81</v>
      </c>
      <c r="K91">
        <v>117.33</v>
      </c>
      <c r="L91">
        <v>88.27</v>
      </c>
      <c r="M91">
        <v>154.33000000000001</v>
      </c>
      <c r="N91">
        <f t="shared" si="6"/>
        <v>27.966608532902292</v>
      </c>
    </row>
    <row r="92" spans="1:14" x14ac:dyDescent="0.3">
      <c r="A92" t="s">
        <v>27</v>
      </c>
      <c r="B92" t="s">
        <v>15</v>
      </c>
      <c r="C92">
        <v>0</v>
      </c>
      <c r="D92">
        <v>3.3006125123706098E-2</v>
      </c>
      <c r="E92">
        <v>0.11584240511407709</v>
      </c>
      <c r="F92">
        <v>0.23548292187123868</v>
      </c>
      <c r="G92">
        <v>0.21365715355604889</v>
      </c>
      <c r="H92">
        <v>0.40201139433492927</v>
      </c>
      <c r="I92">
        <v>12.34</v>
      </c>
      <c r="J92">
        <v>43.31</v>
      </c>
      <c r="K92">
        <v>88.04</v>
      </c>
      <c r="L92">
        <v>79.88</v>
      </c>
      <c r="M92">
        <v>150.30000000000001</v>
      </c>
      <c r="N92">
        <f t="shared" si="6"/>
        <v>28.67165057372884</v>
      </c>
    </row>
    <row r="93" spans="1:14" x14ac:dyDescent="0.3">
      <c r="A93" t="s">
        <v>27</v>
      </c>
      <c r="B93" t="s">
        <v>15</v>
      </c>
      <c r="C93">
        <v>0</v>
      </c>
      <c r="D93">
        <v>7.7666690302299737E-2</v>
      </c>
      <c r="E93">
        <v>0.17050745704223685</v>
      </c>
      <c r="F93">
        <v>0.2524758325651752</v>
      </c>
      <c r="G93">
        <v>0.16228225673024649</v>
      </c>
      <c r="H93">
        <v>0.33706776336004163</v>
      </c>
      <c r="I93">
        <v>32.86</v>
      </c>
      <c r="J93">
        <v>72.14</v>
      </c>
      <c r="K93">
        <v>106.82</v>
      </c>
      <c r="L93">
        <v>68.66</v>
      </c>
      <c r="M93">
        <v>142.61000000000001</v>
      </c>
      <c r="N93">
        <f t="shared" si="6"/>
        <v>28.021153891606993</v>
      </c>
    </row>
    <row r="94" spans="1:14" x14ac:dyDescent="0.3">
      <c r="A94" t="s">
        <v>27</v>
      </c>
      <c r="B94" t="s">
        <v>15</v>
      </c>
      <c r="C94">
        <v>0</v>
      </c>
      <c r="D94">
        <v>6.5417969143894333E-2</v>
      </c>
      <c r="E94">
        <v>0.17424624382373705</v>
      </c>
      <c r="F94">
        <v>0.26391549863870123</v>
      </c>
      <c r="G94">
        <v>0.16592719572451348</v>
      </c>
      <c r="H94">
        <v>0.330493092669154</v>
      </c>
      <c r="I94">
        <v>25.95</v>
      </c>
      <c r="J94">
        <v>69.12</v>
      </c>
      <c r="K94">
        <v>104.69</v>
      </c>
      <c r="L94">
        <v>65.819999999999993</v>
      </c>
      <c r="M94">
        <v>131.1</v>
      </c>
      <c r="N94">
        <f t="shared" si="6"/>
        <v>28.043662397902587</v>
      </c>
    </row>
    <row r="95" spans="1:14" x14ac:dyDescent="0.3">
      <c r="A95" t="s">
        <v>27</v>
      </c>
      <c r="B95" t="s">
        <v>15</v>
      </c>
      <c r="C95">
        <v>0</v>
      </c>
      <c r="D95">
        <v>0.16817830123796423</v>
      </c>
      <c r="E95">
        <v>0.18186898211829439</v>
      </c>
      <c r="F95">
        <v>0.24888239339752408</v>
      </c>
      <c r="G95">
        <v>0.16624398211829436</v>
      </c>
      <c r="H95">
        <v>0.234826341127923</v>
      </c>
      <c r="I95">
        <v>78.25</v>
      </c>
      <c r="J95">
        <v>84.62</v>
      </c>
      <c r="K95">
        <v>115.8</v>
      </c>
      <c r="L95">
        <v>77.349999999999994</v>
      </c>
      <c r="M95">
        <v>109.26</v>
      </c>
      <c r="N95">
        <f t="shared" si="6"/>
        <v>27.235342159559835</v>
      </c>
    </row>
    <row r="96" spans="1:14" x14ac:dyDescent="0.3">
      <c r="A96" t="s">
        <v>27</v>
      </c>
      <c r="B96" t="s">
        <v>15</v>
      </c>
      <c r="C96">
        <v>0</v>
      </c>
      <c r="D96">
        <v>6.3839255151639629E-2</v>
      </c>
      <c r="E96">
        <v>0.14089135346066953</v>
      </c>
      <c r="F96">
        <v>0.21010474430067777</v>
      </c>
      <c r="G96">
        <v>0.21760115013349765</v>
      </c>
      <c r="H96">
        <v>0.36756349695351542</v>
      </c>
      <c r="I96">
        <v>18.649999999999999</v>
      </c>
      <c r="J96">
        <v>41.16</v>
      </c>
      <c r="K96">
        <v>61.38</v>
      </c>
      <c r="L96">
        <v>63.57</v>
      </c>
      <c r="M96">
        <v>107.38</v>
      </c>
      <c r="N96">
        <f t="shared" si="6"/>
        <v>28.368316560553158</v>
      </c>
    </row>
    <row r="97" spans="1:14" x14ac:dyDescent="0.3">
      <c r="A97" t="s">
        <v>27</v>
      </c>
      <c r="B97" t="s">
        <v>15</v>
      </c>
      <c r="C97">
        <v>0</v>
      </c>
      <c r="D97">
        <v>0.10764408005787317</v>
      </c>
      <c r="E97">
        <v>0.21393778635157945</v>
      </c>
      <c r="F97">
        <v>0.30723414516517966</v>
      </c>
      <c r="G97">
        <v>0.15225464190981433</v>
      </c>
      <c r="H97">
        <v>0.21892934651555343</v>
      </c>
      <c r="I97">
        <v>44.64</v>
      </c>
      <c r="J97">
        <v>88.72</v>
      </c>
      <c r="K97">
        <v>127.41</v>
      </c>
      <c r="L97">
        <v>63.14</v>
      </c>
      <c r="M97">
        <v>90.79</v>
      </c>
      <c r="N97">
        <f t="shared" si="6"/>
        <v>27.321774776947198</v>
      </c>
    </row>
    <row r="98" spans="1:14" x14ac:dyDescent="0.3">
      <c r="A98" t="s">
        <v>27</v>
      </c>
      <c r="B98" t="s">
        <v>15</v>
      </c>
      <c r="C98">
        <v>0</v>
      </c>
      <c r="D98">
        <v>8.5927338940431808E-2</v>
      </c>
      <c r="E98">
        <v>0.21780976328795629</v>
      </c>
      <c r="F98">
        <v>0.27818723084482211</v>
      </c>
      <c r="G98">
        <v>0.19069915315471547</v>
      </c>
      <c r="H98">
        <v>0.22737651377207432</v>
      </c>
      <c r="I98">
        <v>29.73</v>
      </c>
      <c r="J98">
        <v>75.36</v>
      </c>
      <c r="K98">
        <v>96.25</v>
      </c>
      <c r="L98">
        <v>65.98</v>
      </c>
      <c r="M98">
        <v>78.67</v>
      </c>
      <c r="N98">
        <f t="shared" si="6"/>
        <v>27.511575479060088</v>
      </c>
    </row>
    <row r="99" spans="1:14" x14ac:dyDescent="0.3">
      <c r="A99" t="s">
        <v>27</v>
      </c>
      <c r="B99" t="s">
        <v>15</v>
      </c>
      <c r="C99">
        <v>0</v>
      </c>
      <c r="D99">
        <v>5.1223820338127675E-2</v>
      </c>
      <c r="E99">
        <v>8.5415089578602055E-2</v>
      </c>
      <c r="F99">
        <v>0.26839936075363779</v>
      </c>
      <c r="G99">
        <v>0.28694591639330469</v>
      </c>
      <c r="H99">
        <v>0.30801581293632763</v>
      </c>
      <c r="I99">
        <v>12.18</v>
      </c>
      <c r="J99">
        <v>20.309999999999999</v>
      </c>
      <c r="K99">
        <v>63.82</v>
      </c>
      <c r="L99">
        <v>68.23</v>
      </c>
      <c r="M99">
        <v>73.239999999999995</v>
      </c>
      <c r="N99">
        <f t="shared" si="6"/>
        <v>28.430229624022207</v>
      </c>
    </row>
    <row r="100" spans="1:14" x14ac:dyDescent="0.3">
      <c r="A100" t="s">
        <v>27</v>
      </c>
      <c r="B100" t="s">
        <v>15</v>
      </c>
      <c r="C100">
        <v>0</v>
      </c>
      <c r="D100">
        <v>6.2868884711231587E-2</v>
      </c>
      <c r="E100">
        <v>0.17068158964718227</v>
      </c>
      <c r="F100">
        <v>0.29768722948454512</v>
      </c>
      <c r="G100">
        <v>0.20858654308573429</v>
      </c>
      <c r="H100">
        <v>0.2601757530713068</v>
      </c>
      <c r="I100">
        <v>14.38</v>
      </c>
      <c r="J100">
        <v>39.04</v>
      </c>
      <c r="K100">
        <v>68.09</v>
      </c>
      <c r="L100">
        <v>47.71</v>
      </c>
      <c r="M100">
        <v>59.51</v>
      </c>
      <c r="N100">
        <f t="shared" si="6"/>
        <v>27.865037380317411</v>
      </c>
    </row>
    <row r="101" spans="1:14" x14ac:dyDescent="0.3">
      <c r="A101" t="s">
        <v>27</v>
      </c>
      <c r="B101" t="s">
        <v>15</v>
      </c>
      <c r="C101">
        <v>0</v>
      </c>
      <c r="D101">
        <v>7.3993796479689081E-2</v>
      </c>
      <c r="E101">
        <v>0.24403004596584327</v>
      </c>
      <c r="F101">
        <v>0.27609402444037523</v>
      </c>
      <c r="G101">
        <v>0.19186068238723422</v>
      </c>
      <c r="H101">
        <v>0.2140214507268583</v>
      </c>
      <c r="I101">
        <v>19.8</v>
      </c>
      <c r="J101">
        <v>65.3</v>
      </c>
      <c r="K101">
        <v>73.88</v>
      </c>
      <c r="L101">
        <v>51.34</v>
      </c>
      <c r="M101">
        <v>57.27</v>
      </c>
      <c r="N101">
        <f t="shared" si="6"/>
        <v>27.45577188983146</v>
      </c>
    </row>
    <row r="102" spans="1:14" x14ac:dyDescent="0.3">
      <c r="A102" t="s">
        <v>27</v>
      </c>
      <c r="B102" t="s">
        <v>15</v>
      </c>
      <c r="C102">
        <v>0</v>
      </c>
      <c r="D102">
        <v>0.12380047505938242</v>
      </c>
      <c r="E102">
        <v>0.15558194774346792</v>
      </c>
      <c r="F102">
        <v>0.21681710213776723</v>
      </c>
      <c r="G102">
        <v>0.2392874109263658</v>
      </c>
      <c r="H102">
        <v>0.26451306413301662</v>
      </c>
      <c r="I102">
        <v>26.06</v>
      </c>
      <c r="J102">
        <v>32.75</v>
      </c>
      <c r="K102">
        <v>45.64</v>
      </c>
      <c r="L102">
        <v>50.37</v>
      </c>
      <c r="M102">
        <v>55.68</v>
      </c>
      <c r="N102">
        <f t="shared" si="6"/>
        <v>27.730261282660329</v>
      </c>
    </row>
    <row r="103" spans="1:14" x14ac:dyDescent="0.3">
      <c r="A103" t="s">
        <v>27</v>
      </c>
      <c r="B103" t="s">
        <v>15</v>
      </c>
      <c r="C103">
        <v>0</v>
      </c>
      <c r="D103">
        <v>3.411764705882353E-2</v>
      </c>
      <c r="E103">
        <v>6.895927601809955E-2</v>
      </c>
      <c r="F103">
        <v>0.49149321266968327</v>
      </c>
      <c r="G103">
        <v>0.15755656108597285</v>
      </c>
      <c r="H103">
        <v>0.24787330316742082</v>
      </c>
      <c r="I103">
        <v>7.54</v>
      </c>
      <c r="J103">
        <v>15.24</v>
      </c>
      <c r="K103">
        <v>108.62</v>
      </c>
      <c r="L103">
        <v>34.82</v>
      </c>
      <c r="M103">
        <v>54.78</v>
      </c>
      <c r="N103">
        <f t="shared" si="6"/>
        <v>28.032217194570137</v>
      </c>
    </row>
    <row r="104" spans="1:14" x14ac:dyDescent="0.3">
      <c r="A104" t="s">
        <v>27</v>
      </c>
      <c r="B104" t="s">
        <v>15</v>
      </c>
      <c r="C104">
        <v>0</v>
      </c>
      <c r="D104">
        <v>0.26294797687861271</v>
      </c>
      <c r="E104">
        <v>0.19479768786127169</v>
      </c>
      <c r="F104">
        <v>0.15052023121387284</v>
      </c>
      <c r="G104">
        <v>0.17179190751445086</v>
      </c>
      <c r="H104">
        <v>0.21994219653179189</v>
      </c>
      <c r="I104">
        <v>45.49</v>
      </c>
      <c r="J104">
        <v>33.700000000000003</v>
      </c>
      <c r="K104">
        <v>26.04</v>
      </c>
      <c r="L104">
        <v>29.72</v>
      </c>
      <c r="M104">
        <v>38.049999999999997</v>
      </c>
      <c r="N104">
        <f t="shared" si="6"/>
        <v>26.781965317919074</v>
      </c>
    </row>
    <row r="105" spans="1:14" x14ac:dyDescent="0.3">
      <c r="A105" t="s">
        <v>27</v>
      </c>
      <c r="B105" t="s">
        <v>15</v>
      </c>
      <c r="C105">
        <v>0</v>
      </c>
      <c r="D105">
        <v>0.17897707716665523</v>
      </c>
      <c r="E105">
        <v>0.26227025538652171</v>
      </c>
      <c r="F105">
        <v>0.21842087148069117</v>
      </c>
      <c r="G105">
        <v>0.10800578233633924</v>
      </c>
      <c r="H105">
        <v>0.23232601362979283</v>
      </c>
      <c r="I105">
        <v>26</v>
      </c>
      <c r="J105">
        <v>38.1</v>
      </c>
      <c r="K105">
        <v>31.73</v>
      </c>
      <c r="L105">
        <v>15.69</v>
      </c>
      <c r="M105">
        <v>33.75</v>
      </c>
      <c r="N105">
        <f t="shared" si="6"/>
        <v>26.904866799752185</v>
      </c>
    </row>
    <row r="106" spans="1:14" x14ac:dyDescent="0.3">
      <c r="A106" t="s">
        <v>27</v>
      </c>
      <c r="B106" t="s">
        <v>15</v>
      </c>
      <c r="C106">
        <v>0</v>
      </c>
      <c r="D106">
        <v>0.24097013952275395</v>
      </c>
      <c r="E106">
        <v>0.19194158299647934</v>
      </c>
      <c r="F106">
        <v>0.18281392619637502</v>
      </c>
      <c r="G106">
        <v>0.17212152823053853</v>
      </c>
      <c r="H106">
        <v>0.21215282305385316</v>
      </c>
      <c r="I106">
        <v>18.48</v>
      </c>
      <c r="J106">
        <v>14.72</v>
      </c>
      <c r="K106">
        <v>14.02</v>
      </c>
      <c r="L106">
        <v>13.2</v>
      </c>
      <c r="M106">
        <v>16.27</v>
      </c>
      <c r="N106">
        <f t="shared" si="6"/>
        <v>26.845090624592515</v>
      </c>
    </row>
    <row r="107" spans="1:14" x14ac:dyDescent="0.3">
      <c r="A107" t="s">
        <v>27</v>
      </c>
      <c r="B107" t="s">
        <v>15</v>
      </c>
      <c r="C107">
        <v>0</v>
      </c>
      <c r="D107">
        <v>0</v>
      </c>
      <c r="E107">
        <v>0.2</v>
      </c>
      <c r="F107">
        <v>0.2</v>
      </c>
      <c r="G107">
        <v>0.5</v>
      </c>
      <c r="H107">
        <v>0.1</v>
      </c>
      <c r="I107">
        <v>0</v>
      </c>
      <c r="J107">
        <v>20</v>
      </c>
      <c r="K107">
        <v>20</v>
      </c>
      <c r="L107">
        <v>50</v>
      </c>
      <c r="M107">
        <v>10</v>
      </c>
      <c r="N107">
        <f t="shared" si="6"/>
        <v>28</v>
      </c>
    </row>
    <row r="108" spans="1:14" x14ac:dyDescent="0.3">
      <c r="A108" t="s">
        <v>27</v>
      </c>
      <c r="B108" t="s">
        <v>15</v>
      </c>
      <c r="C108">
        <v>0</v>
      </c>
      <c r="D108">
        <v>0.1</v>
      </c>
      <c r="E108">
        <v>0.2</v>
      </c>
      <c r="F108">
        <v>0.2</v>
      </c>
      <c r="G108">
        <v>0.4</v>
      </c>
      <c r="H108">
        <v>0.1</v>
      </c>
      <c r="I108">
        <v>10</v>
      </c>
      <c r="J108">
        <v>20</v>
      </c>
      <c r="K108">
        <v>20</v>
      </c>
      <c r="L108">
        <v>40</v>
      </c>
      <c r="M108">
        <v>10</v>
      </c>
      <c r="N108">
        <f t="shared" si="6"/>
        <v>27.400000000000006</v>
      </c>
    </row>
    <row r="109" spans="1:14" x14ac:dyDescent="0.3">
      <c r="A109" t="s">
        <v>27</v>
      </c>
      <c r="B109" t="s">
        <v>15</v>
      </c>
      <c r="C109">
        <v>0</v>
      </c>
      <c r="D109">
        <v>3.5189357365089574E-2</v>
      </c>
      <c r="E109">
        <v>9.5483317240639409E-2</v>
      </c>
      <c r="F109">
        <v>0.67460572899903437</v>
      </c>
      <c r="G109">
        <v>0.11500911919321961</v>
      </c>
      <c r="H109">
        <v>7.9712477202016935E-2</v>
      </c>
      <c r="I109">
        <v>3.28</v>
      </c>
      <c r="J109">
        <v>8.9</v>
      </c>
      <c r="K109">
        <v>62.88</v>
      </c>
      <c r="L109">
        <v>10.72</v>
      </c>
      <c r="M109">
        <v>7.43</v>
      </c>
      <c r="N109">
        <f t="shared" si="6"/>
        <v>27.217144083252869</v>
      </c>
    </row>
    <row r="110" spans="1:14" x14ac:dyDescent="0.3">
      <c r="A110" t="s">
        <v>27</v>
      </c>
      <c r="B110" t="s">
        <v>15</v>
      </c>
      <c r="C110">
        <v>0</v>
      </c>
      <c r="D110">
        <v>0.30513260058485431</v>
      </c>
      <c r="E110">
        <v>0.26499949581526672</v>
      </c>
      <c r="F110">
        <v>0.31309871937077743</v>
      </c>
      <c r="G110">
        <v>5.6872037914691941E-2</v>
      </c>
      <c r="H110">
        <v>5.9897146314409601E-2</v>
      </c>
      <c r="I110">
        <v>30.26</v>
      </c>
      <c r="J110">
        <v>26.28</v>
      </c>
      <c r="K110">
        <v>31.05</v>
      </c>
      <c r="L110">
        <v>5.64</v>
      </c>
      <c r="M110">
        <v>5.94</v>
      </c>
      <c r="N110">
        <f t="shared" si="6"/>
        <v>25.602803267117064</v>
      </c>
    </row>
    <row r="111" spans="1:14" x14ac:dyDescent="0.3">
      <c r="A111" t="s">
        <v>27</v>
      </c>
      <c r="B111" t="s">
        <v>15</v>
      </c>
      <c r="C111">
        <v>0</v>
      </c>
      <c r="D111">
        <v>0</v>
      </c>
      <c r="E111">
        <v>0.44444444444444442</v>
      </c>
      <c r="F111">
        <v>0.22222222222222221</v>
      </c>
      <c r="G111">
        <v>0.33333333333333331</v>
      </c>
      <c r="H111">
        <v>0</v>
      </c>
      <c r="I111">
        <v>0</v>
      </c>
      <c r="J111">
        <v>40</v>
      </c>
      <c r="K111">
        <v>20</v>
      </c>
      <c r="L111">
        <v>30</v>
      </c>
      <c r="M111">
        <v>0</v>
      </c>
      <c r="N111">
        <f t="shared" si="6"/>
        <v>26.777777777777779</v>
      </c>
    </row>
    <row r="112" spans="1:14" x14ac:dyDescent="0.3">
      <c r="A112" t="s">
        <v>27</v>
      </c>
      <c r="B112" t="s">
        <v>15</v>
      </c>
      <c r="C112">
        <v>0</v>
      </c>
      <c r="D112">
        <v>0</v>
      </c>
      <c r="E112">
        <v>0.44444444444444442</v>
      </c>
      <c r="F112">
        <v>0.22222222222222221</v>
      </c>
      <c r="G112">
        <v>0.33333333333333331</v>
      </c>
      <c r="H112">
        <v>0</v>
      </c>
      <c r="I112">
        <v>0</v>
      </c>
      <c r="J112">
        <v>40</v>
      </c>
      <c r="K112">
        <v>20</v>
      </c>
      <c r="L112">
        <v>30</v>
      </c>
      <c r="M112">
        <v>0</v>
      </c>
      <c r="N112">
        <f t="shared" si="6"/>
        <v>26.777777777777779</v>
      </c>
    </row>
    <row r="113" spans="1:14" x14ac:dyDescent="0.3">
      <c r="A113" t="s">
        <v>27</v>
      </c>
      <c r="B113" t="s">
        <v>15</v>
      </c>
      <c r="C113">
        <v>0</v>
      </c>
      <c r="D113">
        <f t="shared" ref="D113:H114" si="7">I113/SUM($I113:$M113)</f>
        <v>1.014760147601476E-2</v>
      </c>
      <c r="E113">
        <f t="shared" si="7"/>
        <v>0.1133508675512287</v>
      </c>
      <c r="F113">
        <f t="shared" si="7"/>
        <v>0.64387218340268515</v>
      </c>
      <c r="G113">
        <f t="shared" si="7"/>
        <v>0.11609876737065242</v>
      </c>
      <c r="H113">
        <f t="shared" si="7"/>
        <v>0.116530580199419</v>
      </c>
      <c r="I113">
        <v>5.17</v>
      </c>
      <c r="J113">
        <v>57.75</v>
      </c>
      <c r="K113">
        <v>328.04</v>
      </c>
      <c r="L113">
        <v>59.15</v>
      </c>
      <c r="M113">
        <v>59.37</v>
      </c>
      <c r="N113">
        <f t="shared" si="6"/>
        <v>27.431027714532469</v>
      </c>
    </row>
    <row r="114" spans="1:14" x14ac:dyDescent="0.3">
      <c r="A114" t="s">
        <v>27</v>
      </c>
      <c r="B114" t="s">
        <v>15</v>
      </c>
      <c r="C114">
        <v>0</v>
      </c>
      <c r="D114">
        <f t="shared" si="7"/>
        <v>7.9940311234278395E-3</v>
      </c>
      <c r="E114">
        <f t="shared" si="7"/>
        <v>0.1877638030270731</v>
      </c>
      <c r="F114">
        <f t="shared" si="7"/>
        <v>0.65736516734171813</v>
      </c>
      <c r="G114">
        <f t="shared" si="7"/>
        <v>8.3756128757194626E-2</v>
      </c>
      <c r="H114">
        <f t="shared" si="7"/>
        <v>6.3120869750586228E-2</v>
      </c>
      <c r="I114">
        <v>3.75</v>
      </c>
      <c r="J114">
        <v>88.08</v>
      </c>
      <c r="K114">
        <v>308.37</v>
      </c>
      <c r="L114">
        <v>39.29</v>
      </c>
      <c r="M114">
        <v>29.61</v>
      </c>
      <c r="N114">
        <f t="shared" si="6"/>
        <v>27.012492005968877</v>
      </c>
    </row>
    <row r="115" spans="1:14" x14ac:dyDescent="0.3">
      <c r="A115" t="s">
        <v>27</v>
      </c>
      <c r="B115" t="s">
        <v>15</v>
      </c>
      <c r="C115">
        <v>0</v>
      </c>
      <c r="D115">
        <v>0</v>
      </c>
      <c r="E115">
        <v>9.7826086956521743E-2</v>
      </c>
      <c r="F115">
        <v>0.40217391304347827</v>
      </c>
      <c r="G115">
        <v>0.1521739130434783</v>
      </c>
      <c r="H115">
        <v>0.34782608695652178</v>
      </c>
      <c r="I115">
        <v>0</v>
      </c>
      <c r="J115">
        <v>48.446999999999996</v>
      </c>
      <c r="K115">
        <v>199.17099999999999</v>
      </c>
      <c r="L115">
        <v>75.361999999999995</v>
      </c>
      <c r="M115">
        <v>172.256</v>
      </c>
      <c r="N115">
        <f>(D115*23+E115*25+F115*27+G115*29+H115*31)/SUM(D115:H115)</f>
        <v>28.500000000000004</v>
      </c>
    </row>
    <row r="116" spans="1:14" x14ac:dyDescent="0.3">
      <c r="A116" t="s">
        <v>108</v>
      </c>
      <c r="B116" t="s">
        <v>16</v>
      </c>
      <c r="C116">
        <v>0</v>
      </c>
      <c r="D116">
        <v>0.33091298129248792</v>
      </c>
      <c r="E116">
        <v>0.29095224256514579</v>
      </c>
      <c r="F116">
        <v>0.36078345898080244</v>
      </c>
      <c r="G116">
        <v>1.6673219709272841E-2</v>
      </c>
      <c r="H116">
        <v>6.7809745229100067E-4</v>
      </c>
      <c r="I116">
        <v>2322.89</v>
      </c>
      <c r="J116">
        <v>2042.38</v>
      </c>
      <c r="K116">
        <v>2532.5700000000002</v>
      </c>
      <c r="L116">
        <v>117.04</v>
      </c>
      <c r="M116">
        <v>4.76</v>
      </c>
      <c r="N116">
        <f t="shared" si="6"/>
        <v>25.13050241892747</v>
      </c>
    </row>
    <row r="117" spans="1:14" x14ac:dyDescent="0.3">
      <c r="A117" t="s">
        <v>108</v>
      </c>
      <c r="B117" t="s">
        <v>16</v>
      </c>
      <c r="C117">
        <v>0</v>
      </c>
      <c r="D117">
        <v>2.1276595744680847E-2</v>
      </c>
      <c r="E117">
        <v>0.25531914893617014</v>
      </c>
      <c r="F117">
        <v>0.30851063829787229</v>
      </c>
      <c r="G117">
        <v>7.4468085106382975E-2</v>
      </c>
      <c r="H117">
        <v>0.34042553191489355</v>
      </c>
      <c r="I117">
        <v>25.876000000000001</v>
      </c>
      <c r="J117">
        <v>310.512</v>
      </c>
      <c r="K117">
        <v>375.20199999999994</v>
      </c>
      <c r="L117">
        <v>90.566000000000003</v>
      </c>
      <c r="M117">
        <v>414.01600000000002</v>
      </c>
      <c r="N117">
        <f t="shared" si="6"/>
        <v>27.914893617021274</v>
      </c>
    </row>
    <row r="118" spans="1:14" x14ac:dyDescent="0.3">
      <c r="A118" t="s">
        <v>169</v>
      </c>
      <c r="B118" t="s">
        <v>16</v>
      </c>
      <c r="C118">
        <v>0</v>
      </c>
      <c r="D118">
        <f>I118/SUM($I118:$M118)</f>
        <v>8.2644628099173556E-3</v>
      </c>
      <c r="E118">
        <f>J118/SUM($I118:$M118)</f>
        <v>2.0661157024793389E-2</v>
      </c>
      <c r="F118">
        <f>K118/SUM($I118:$M118)</f>
        <v>0.74380165289256195</v>
      </c>
      <c r="G118">
        <f>L118/SUM($I118:$M118)</f>
        <v>0.13223140495867769</v>
      </c>
      <c r="H118">
        <f>M118/SUM($I118:$M118)</f>
        <v>9.5041322314049589E-2</v>
      </c>
      <c r="I118">
        <v>2</v>
      </c>
      <c r="J118">
        <v>5</v>
      </c>
      <c r="K118">
        <v>180</v>
      </c>
      <c r="L118">
        <v>32</v>
      </c>
      <c r="M118">
        <v>23</v>
      </c>
      <c r="N118">
        <f t="shared" si="6"/>
        <v>27.570247933884296</v>
      </c>
    </row>
    <row r="119" spans="1:14" x14ac:dyDescent="0.3">
      <c r="A119" t="s">
        <v>28</v>
      </c>
      <c r="B119" t="s">
        <v>16</v>
      </c>
      <c r="C119">
        <v>0</v>
      </c>
      <c r="D119">
        <v>0.25595718901453957</v>
      </c>
      <c r="E119">
        <v>0.27907915993537963</v>
      </c>
      <c r="F119">
        <v>0.43537964458804518</v>
      </c>
      <c r="G119">
        <v>2.4131663974151858E-2</v>
      </c>
      <c r="H119">
        <v>5.4523424878836838E-3</v>
      </c>
      <c r="I119">
        <v>25.35</v>
      </c>
      <c r="J119">
        <v>27.64</v>
      </c>
      <c r="K119">
        <v>43.12</v>
      </c>
      <c r="L119">
        <v>2.39</v>
      </c>
      <c r="M119">
        <v>0.54</v>
      </c>
      <c r="N119">
        <f t="shared" si="6"/>
        <v>25.488085621970917</v>
      </c>
    </row>
    <row r="120" spans="1:14" x14ac:dyDescent="0.3">
      <c r="A120" t="s">
        <v>28</v>
      </c>
      <c r="B120" t="s">
        <v>16</v>
      </c>
      <c r="C120">
        <v>0</v>
      </c>
      <c r="D120">
        <v>0</v>
      </c>
      <c r="E120">
        <v>0.12790697674418605</v>
      </c>
      <c r="F120">
        <v>0.1744186046511628</v>
      </c>
      <c r="G120">
        <v>0.12790697674418605</v>
      </c>
      <c r="H120">
        <v>0.56976744186046513</v>
      </c>
      <c r="I120">
        <v>0</v>
      </c>
      <c r="J120">
        <v>344.48699999999997</v>
      </c>
      <c r="K120">
        <v>469.75499999999994</v>
      </c>
      <c r="L120">
        <v>344.48699999999997</v>
      </c>
      <c r="M120">
        <v>1534.5329999999999</v>
      </c>
      <c r="N120">
        <f>(D120*23+E120*25+F120*27+G120*29+H120*31)/SUM(D120:H120)</f>
        <v>29.279069767441865</v>
      </c>
    </row>
    <row r="121" spans="1:14" x14ac:dyDescent="0.3">
      <c r="A121" t="s">
        <v>29</v>
      </c>
      <c r="B121" t="s">
        <v>18</v>
      </c>
      <c r="C121">
        <v>0</v>
      </c>
      <c r="D121">
        <v>0.24143664782174926</v>
      </c>
      <c r="E121">
        <v>0.19476776410597493</v>
      </c>
      <c r="F121">
        <v>0.20230573107194322</v>
      </c>
      <c r="G121">
        <v>0.17392750249418024</v>
      </c>
      <c r="H121">
        <v>0.1875623545061523</v>
      </c>
      <c r="I121">
        <v>43.56</v>
      </c>
      <c r="J121">
        <v>35.14</v>
      </c>
      <c r="K121">
        <v>36.5</v>
      </c>
      <c r="L121">
        <v>31.38</v>
      </c>
      <c r="M121">
        <v>33.840000000000003</v>
      </c>
      <c r="N121">
        <f t="shared" si="6"/>
        <v>26.742822303514028</v>
      </c>
    </row>
    <row r="122" spans="1:14" x14ac:dyDescent="0.3">
      <c r="A122" t="s">
        <v>151</v>
      </c>
      <c r="B122" t="s">
        <v>144</v>
      </c>
      <c r="C122">
        <v>0</v>
      </c>
      <c r="D122">
        <f t="shared" ref="D122:H129" si="8">I122/SUM($I122:$M122)</f>
        <v>0.11243144424131628</v>
      </c>
      <c r="E122">
        <f t="shared" si="8"/>
        <v>0.35786106032906773</v>
      </c>
      <c r="F122">
        <f t="shared" si="8"/>
        <v>0.10923217550274224</v>
      </c>
      <c r="G122">
        <f t="shared" si="8"/>
        <v>0.21160877513711154</v>
      </c>
      <c r="H122">
        <f t="shared" si="8"/>
        <v>0.20886654478976238</v>
      </c>
      <c r="I122">
        <v>0.246</v>
      </c>
      <c r="J122">
        <v>0.78300000000000003</v>
      </c>
      <c r="K122">
        <v>0.23899999999999999</v>
      </c>
      <c r="L122">
        <v>0.46300000000000002</v>
      </c>
      <c r="M122">
        <v>0.45700000000000002</v>
      </c>
      <c r="N122">
        <f t="shared" si="6"/>
        <v>27.093235831809871</v>
      </c>
    </row>
    <row r="123" spans="1:14" x14ac:dyDescent="0.3">
      <c r="A123" t="s">
        <v>151</v>
      </c>
      <c r="B123" t="s">
        <v>144</v>
      </c>
      <c r="C123">
        <v>0</v>
      </c>
      <c r="D123">
        <f t="shared" si="8"/>
        <v>0.21512247071352503</v>
      </c>
      <c r="E123">
        <f t="shared" si="8"/>
        <v>0.24334398296059637</v>
      </c>
      <c r="F123">
        <f t="shared" si="8"/>
        <v>0.21671991480298186</v>
      </c>
      <c r="G123">
        <f t="shared" si="8"/>
        <v>0.18051118210862621</v>
      </c>
      <c r="H123">
        <f t="shared" si="8"/>
        <v>0.14430244941427051</v>
      </c>
      <c r="I123">
        <v>0.40400000000000003</v>
      </c>
      <c r="J123">
        <v>0.45700000000000002</v>
      </c>
      <c r="K123">
        <v>0.40699999999999997</v>
      </c>
      <c r="L123">
        <v>0.33900000000000002</v>
      </c>
      <c r="M123">
        <v>0.27100000000000002</v>
      </c>
      <c r="N123">
        <f t="shared" si="6"/>
        <v>26.591054313099043</v>
      </c>
    </row>
    <row r="124" spans="1:14" x14ac:dyDescent="0.3">
      <c r="A124" t="s">
        <v>151</v>
      </c>
      <c r="B124" t="s">
        <v>144</v>
      </c>
      <c r="C124">
        <v>0</v>
      </c>
      <c r="D124">
        <f t="shared" si="8"/>
        <v>0.14293948126801154</v>
      </c>
      <c r="E124">
        <f t="shared" si="8"/>
        <v>0.33659942363112394</v>
      </c>
      <c r="F124">
        <f t="shared" si="8"/>
        <v>0.17867435158501441</v>
      </c>
      <c r="G124">
        <f t="shared" si="8"/>
        <v>0.20576368876080692</v>
      </c>
      <c r="H124">
        <f t="shared" si="8"/>
        <v>0.13602305475504323</v>
      </c>
      <c r="I124">
        <v>0.248</v>
      </c>
      <c r="J124">
        <v>0.58399999999999996</v>
      </c>
      <c r="K124">
        <v>0.31</v>
      </c>
      <c r="L124">
        <v>0.35699999999999998</v>
      </c>
      <c r="M124">
        <v>0.23599999999999999</v>
      </c>
      <c r="N124">
        <f t="shared" si="6"/>
        <v>26.710662824207496</v>
      </c>
    </row>
    <row r="125" spans="1:14" x14ac:dyDescent="0.3">
      <c r="A125" t="s">
        <v>151</v>
      </c>
      <c r="B125" t="s">
        <v>144</v>
      </c>
      <c r="C125">
        <v>0</v>
      </c>
      <c r="D125">
        <f t="shared" si="8"/>
        <v>0.23020257826887663</v>
      </c>
      <c r="E125">
        <f t="shared" si="8"/>
        <v>0.20073664825046042</v>
      </c>
      <c r="F125">
        <f t="shared" si="8"/>
        <v>0.16022099447513813</v>
      </c>
      <c r="G125">
        <f t="shared" si="8"/>
        <v>0.20718232044198898</v>
      </c>
      <c r="H125">
        <f t="shared" si="8"/>
        <v>0.20165745856353595</v>
      </c>
      <c r="I125">
        <v>0.25</v>
      </c>
      <c r="J125">
        <v>0.218</v>
      </c>
      <c r="K125">
        <v>0.17399999999999999</v>
      </c>
      <c r="L125">
        <v>0.22500000000000001</v>
      </c>
      <c r="M125">
        <v>0.219</v>
      </c>
      <c r="N125">
        <f t="shared" si="6"/>
        <v>26.898710865561689</v>
      </c>
    </row>
    <row r="126" spans="1:14" x14ac:dyDescent="0.3">
      <c r="A126" t="s">
        <v>151</v>
      </c>
      <c r="B126" t="s">
        <v>144</v>
      </c>
      <c r="C126">
        <v>0</v>
      </c>
      <c r="D126">
        <f t="shared" si="8"/>
        <v>0.17474747474747473</v>
      </c>
      <c r="E126">
        <f t="shared" si="8"/>
        <v>0.36161616161616161</v>
      </c>
      <c r="F126">
        <f t="shared" si="8"/>
        <v>0.14444444444444443</v>
      </c>
      <c r="G126">
        <f t="shared" si="8"/>
        <v>0.17474747474747473</v>
      </c>
      <c r="H126">
        <f t="shared" si="8"/>
        <v>0.14444444444444443</v>
      </c>
      <c r="I126">
        <v>0.17299999999999999</v>
      </c>
      <c r="J126">
        <v>0.35799999999999998</v>
      </c>
      <c r="K126">
        <v>0.14299999999999999</v>
      </c>
      <c r="L126">
        <v>0.17299999999999999</v>
      </c>
      <c r="M126">
        <v>0.14299999999999999</v>
      </c>
      <c r="N126">
        <f t="shared" si="6"/>
        <v>26.505050505050502</v>
      </c>
    </row>
    <row r="127" spans="1:14" x14ac:dyDescent="0.3">
      <c r="A127" t="s">
        <v>151</v>
      </c>
      <c r="B127" t="s">
        <v>144</v>
      </c>
      <c r="C127">
        <v>0</v>
      </c>
      <c r="D127">
        <f t="shared" si="8"/>
        <v>0.27079174983366594</v>
      </c>
      <c r="E127">
        <f t="shared" si="8"/>
        <v>0.1623419827012641</v>
      </c>
      <c r="F127">
        <f t="shared" si="8"/>
        <v>0.31736526946107774</v>
      </c>
      <c r="G127">
        <f t="shared" si="8"/>
        <v>0.18695941450432466</v>
      </c>
      <c r="H127">
        <f t="shared" si="8"/>
        <v>6.2541583499667319E-2</v>
      </c>
      <c r="I127">
        <v>0.40699999999999997</v>
      </c>
      <c r="J127">
        <v>0.24399999999999999</v>
      </c>
      <c r="K127">
        <v>0.47699999999999998</v>
      </c>
      <c r="L127">
        <v>0.28100000000000003</v>
      </c>
      <c r="M127">
        <v>9.4E-2</v>
      </c>
      <c r="N127">
        <f t="shared" si="6"/>
        <v>26.216234198270129</v>
      </c>
    </row>
    <row r="128" spans="1:14" x14ac:dyDescent="0.3">
      <c r="A128" t="s">
        <v>151</v>
      </c>
      <c r="B128" t="s">
        <v>144</v>
      </c>
      <c r="C128">
        <v>0</v>
      </c>
      <c r="D128">
        <f t="shared" si="8"/>
        <v>0.38032100488485698</v>
      </c>
      <c r="E128">
        <f t="shared" si="8"/>
        <v>0.15212840195394278</v>
      </c>
      <c r="F128">
        <f t="shared" si="8"/>
        <v>0.2470341939986043</v>
      </c>
      <c r="G128">
        <f t="shared" si="8"/>
        <v>0.15840893230983949</v>
      </c>
      <c r="H128">
        <f t="shared" si="8"/>
        <v>6.2107466852756449E-2</v>
      </c>
      <c r="I128">
        <v>0.54500000000000004</v>
      </c>
      <c r="J128">
        <v>0.218</v>
      </c>
      <c r="K128">
        <v>0.35399999999999998</v>
      </c>
      <c r="L128">
        <v>0.22700000000000001</v>
      </c>
      <c r="M128">
        <v>8.8999999999999996E-2</v>
      </c>
      <c r="N128">
        <f t="shared" si="6"/>
        <v>25.739706908583397</v>
      </c>
    </row>
    <row r="129" spans="1:14" x14ac:dyDescent="0.3">
      <c r="A129" t="s">
        <v>151</v>
      </c>
      <c r="B129" t="s">
        <v>144</v>
      </c>
      <c r="C129">
        <v>0</v>
      </c>
      <c r="D129">
        <f t="shared" si="8"/>
        <v>0.25866666666666666</v>
      </c>
      <c r="E129">
        <f t="shared" si="8"/>
        <v>0.224</v>
      </c>
      <c r="F129">
        <f t="shared" si="8"/>
        <v>0.34</v>
      </c>
      <c r="G129">
        <f t="shared" si="8"/>
        <v>0.17733333333333334</v>
      </c>
      <c r="H129">
        <f t="shared" si="8"/>
        <v>0</v>
      </c>
      <c r="I129">
        <v>0.19400000000000001</v>
      </c>
      <c r="J129">
        <v>0.16800000000000001</v>
      </c>
      <c r="K129">
        <v>0.255</v>
      </c>
      <c r="L129">
        <v>0.13300000000000001</v>
      </c>
      <c r="M129">
        <v>0</v>
      </c>
      <c r="N129">
        <f t="shared" si="6"/>
        <v>25.872000000000003</v>
      </c>
    </row>
    <row r="130" spans="1:14" x14ac:dyDescent="0.3">
      <c r="A130" t="s">
        <v>30</v>
      </c>
      <c r="B130" t="s">
        <v>31</v>
      </c>
      <c r="C130">
        <v>0</v>
      </c>
      <c r="D130">
        <v>8.663883089770355E-2</v>
      </c>
      <c r="E130">
        <v>0.14335421016005567</v>
      </c>
      <c r="F130">
        <v>0.18649965205288796</v>
      </c>
      <c r="G130">
        <v>0.3681280445372303</v>
      </c>
      <c r="H130">
        <v>0.21537926235212249</v>
      </c>
      <c r="I130">
        <v>2.4900000000000002</v>
      </c>
      <c r="J130">
        <v>4.12</v>
      </c>
      <c r="K130">
        <v>5.36</v>
      </c>
      <c r="L130">
        <v>10.58</v>
      </c>
      <c r="M130">
        <v>6.19</v>
      </c>
      <c r="N130">
        <f t="shared" si="6"/>
        <v>27.964509394572023</v>
      </c>
    </row>
    <row r="131" spans="1:14" x14ac:dyDescent="0.3">
      <c r="A131" t="s">
        <v>30</v>
      </c>
      <c r="B131" t="s">
        <v>31</v>
      </c>
      <c r="C131">
        <v>0</v>
      </c>
      <c r="D131">
        <v>4.2827657378740967E-2</v>
      </c>
      <c r="E131">
        <v>0.14329942503317117</v>
      </c>
      <c r="F131">
        <v>0.61587793011941616</v>
      </c>
      <c r="G131">
        <v>0.1638655462184874</v>
      </c>
      <c r="H131">
        <v>3.4129441250184286E-2</v>
      </c>
      <c r="I131">
        <v>5.81</v>
      </c>
      <c r="J131">
        <v>19.440000000000001</v>
      </c>
      <c r="K131">
        <v>83.55</v>
      </c>
      <c r="L131">
        <v>22.23</v>
      </c>
      <c r="M131">
        <v>4.63</v>
      </c>
      <c r="N131">
        <f t="shared" si="6"/>
        <v>27.00633937785641</v>
      </c>
    </row>
    <row r="132" spans="1:14" x14ac:dyDescent="0.3">
      <c r="A132" t="s">
        <v>142</v>
      </c>
      <c r="B132" t="s">
        <v>18</v>
      </c>
      <c r="C132">
        <v>0</v>
      </c>
      <c r="D132">
        <f t="shared" ref="D132:H133" si="9">I132/SUM($I132:$M132)</f>
        <v>9.4767711699990764E-2</v>
      </c>
      <c r="E132">
        <f t="shared" si="9"/>
        <v>0.33340558530721032</v>
      </c>
      <c r="F132">
        <f t="shared" si="9"/>
        <v>0.45562656312620331</v>
      </c>
      <c r="G132">
        <f t="shared" si="9"/>
        <v>0.10130679157415909</v>
      </c>
      <c r="H132">
        <f t="shared" si="9"/>
        <v>1.4893348292436426E-2</v>
      </c>
      <c r="I132">
        <v>15.747347979198791</v>
      </c>
      <c r="J132">
        <v>55.401293076084691</v>
      </c>
      <c r="K132">
        <v>75.710491573633803</v>
      </c>
      <c r="L132">
        <v>16.833932897153648</v>
      </c>
      <c r="M132">
        <v>2.474795834248527</v>
      </c>
      <c r="N132">
        <f t="shared" si="6"/>
        <v>26.216304958903681</v>
      </c>
    </row>
    <row r="133" spans="1:14" x14ac:dyDescent="0.3">
      <c r="A133" t="s">
        <v>142</v>
      </c>
      <c r="B133" t="s">
        <v>18</v>
      </c>
      <c r="C133">
        <v>0</v>
      </c>
      <c r="D133">
        <f t="shared" si="9"/>
        <v>7.9762656075058586E-2</v>
      </c>
      <c r="E133">
        <f t="shared" si="9"/>
        <v>0.6515374510732761</v>
      </c>
      <c r="F133">
        <f t="shared" si="9"/>
        <v>0.19079594986729517</v>
      </c>
      <c r="G133">
        <f t="shared" si="9"/>
        <v>5.5951571483272913E-2</v>
      </c>
      <c r="H133">
        <f t="shared" si="9"/>
        <v>2.195237150109736E-2</v>
      </c>
      <c r="I133">
        <v>3.6958531691706371</v>
      </c>
      <c r="J133">
        <v>30.189400301772206</v>
      </c>
      <c r="K133">
        <v>8.8406511352680894</v>
      </c>
      <c r="L133">
        <v>2.5925514891572616</v>
      </c>
      <c r="M133">
        <v>1.0171770321539191</v>
      </c>
      <c r="N133">
        <f t="shared" si="6"/>
        <v>25.577587102524145</v>
      </c>
    </row>
    <row r="134" spans="1:14" x14ac:dyDescent="0.3">
      <c r="A134" t="s">
        <v>32</v>
      </c>
      <c r="B134" t="s">
        <v>18</v>
      </c>
      <c r="C134">
        <v>0</v>
      </c>
      <c r="D134">
        <v>1.3236830901420443E-2</v>
      </c>
      <c r="E134">
        <v>0.19508843906026241</v>
      </c>
      <c r="F134">
        <v>0.44045361303556912</v>
      </c>
      <c r="G134">
        <v>0.29413244571738206</v>
      </c>
      <c r="H134">
        <v>5.7088671285365947E-2</v>
      </c>
      <c r="I134">
        <v>6.84</v>
      </c>
      <c r="J134">
        <v>100.81</v>
      </c>
      <c r="K134">
        <v>227.6</v>
      </c>
      <c r="L134">
        <v>151.99</v>
      </c>
      <c r="M134">
        <v>29.5</v>
      </c>
      <c r="N134">
        <f t="shared" ref="N134:N197" si="10">(D134*23+E134*25+F134*27+G134*29+H134*31)/SUM(D134:H134)</f>
        <v>27.37349537485002</v>
      </c>
    </row>
    <row r="135" spans="1:14" x14ac:dyDescent="0.3">
      <c r="A135" t="s">
        <v>148</v>
      </c>
      <c r="B135" t="s">
        <v>149</v>
      </c>
      <c r="C135">
        <v>0</v>
      </c>
      <c r="D135">
        <f t="shared" ref="D135:H136" si="11">I135/SUM($I135:$M135)</f>
        <v>0.1966209152914222</v>
      </c>
      <c r="E135">
        <f t="shared" si="11"/>
        <v>0.29610496661989194</v>
      </c>
      <c r="F135">
        <f t="shared" si="11"/>
        <v>0.30926719020404264</v>
      </c>
      <c r="G135">
        <f t="shared" si="11"/>
        <v>0.11412622658802604</v>
      </c>
      <c r="H135">
        <f t="shared" si="11"/>
        <v>8.3880701296617233E-2</v>
      </c>
      <c r="I135">
        <v>18.754439472902117</v>
      </c>
      <c r="J135">
        <v>28.243600971278426</v>
      </c>
      <c r="K135">
        <v>29.499063164463159</v>
      </c>
      <c r="L135">
        <v>10.885787026489458</v>
      </c>
      <c r="M135">
        <v>8.0008555197719584</v>
      </c>
      <c r="N135">
        <f t="shared" si="10"/>
        <v>26.185081663957053</v>
      </c>
    </row>
    <row r="136" spans="1:14" x14ac:dyDescent="0.3">
      <c r="A136" t="s">
        <v>148</v>
      </c>
      <c r="B136" t="s">
        <v>149</v>
      </c>
      <c r="C136">
        <v>0</v>
      </c>
      <c r="D136">
        <f t="shared" si="11"/>
        <v>0.28651391473700544</v>
      </c>
      <c r="E136">
        <f t="shared" si="11"/>
        <v>0.21694996192600954</v>
      </c>
      <c r="F136">
        <f t="shared" si="11"/>
        <v>0.21117524794241163</v>
      </c>
      <c r="G136">
        <f t="shared" si="11"/>
        <v>0.17647410094086347</v>
      </c>
      <c r="H136">
        <f t="shared" si="11"/>
        <v>0.10888677445371009</v>
      </c>
      <c r="I136">
        <v>9.5701551513190211</v>
      </c>
      <c r="J136">
        <v>7.2465757818794803</v>
      </c>
      <c r="K136">
        <v>7.0536884352797458</v>
      </c>
      <c r="L136">
        <v>5.894598619211374</v>
      </c>
      <c r="M136">
        <v>3.6370426420832249</v>
      </c>
      <c r="N136">
        <f t="shared" si="10"/>
        <v>26.208539716896532</v>
      </c>
    </row>
    <row r="137" spans="1:14" x14ac:dyDescent="0.3">
      <c r="A137" t="s">
        <v>111</v>
      </c>
      <c r="B137" t="s">
        <v>112</v>
      </c>
      <c r="C137">
        <v>0</v>
      </c>
      <c r="D137">
        <v>0</v>
      </c>
      <c r="E137">
        <v>0.49043303121852971</v>
      </c>
      <c r="F137">
        <v>0.45367573011077544</v>
      </c>
      <c r="G137">
        <v>5.5891238670694871E-2</v>
      </c>
      <c r="H137">
        <v>0</v>
      </c>
      <c r="I137">
        <v>0</v>
      </c>
      <c r="J137">
        <v>9.74</v>
      </c>
      <c r="K137">
        <v>9.01</v>
      </c>
      <c r="L137">
        <v>1.1100000000000001</v>
      </c>
      <c r="M137">
        <v>0</v>
      </c>
      <c r="N137">
        <f t="shared" si="10"/>
        <v>26.13091641490433</v>
      </c>
    </row>
    <row r="138" spans="1:14" x14ac:dyDescent="0.3">
      <c r="A138" t="s">
        <v>33</v>
      </c>
      <c r="B138" t="s">
        <v>34</v>
      </c>
      <c r="C138">
        <v>0</v>
      </c>
      <c r="D138">
        <v>1.5780770139381051E-2</v>
      </c>
      <c r="E138">
        <v>6.6950153555398059E-2</v>
      </c>
      <c r="F138">
        <v>0.12218284904323175</v>
      </c>
      <c r="G138">
        <v>0.60614221592251349</v>
      </c>
      <c r="H138">
        <v>0.18894401133947555</v>
      </c>
      <c r="I138">
        <v>3.34</v>
      </c>
      <c r="J138">
        <v>14.17</v>
      </c>
      <c r="K138">
        <v>25.86</v>
      </c>
      <c r="L138">
        <v>128.29</v>
      </c>
      <c r="M138">
        <v>39.99</v>
      </c>
      <c r="N138">
        <f t="shared" si="10"/>
        <v>28.771037089534605</v>
      </c>
    </row>
    <row r="139" spans="1:14" x14ac:dyDescent="0.3">
      <c r="A139" t="s">
        <v>187</v>
      </c>
      <c r="B139" t="s">
        <v>15</v>
      </c>
      <c r="C139">
        <v>0</v>
      </c>
      <c r="D139">
        <v>9.5452824909895821E-4</v>
      </c>
      <c r="E139">
        <v>3.1762750357948091E-3</v>
      </c>
      <c r="F139">
        <v>9.3395651959251522E-3</v>
      </c>
      <c r="G139">
        <v>0.80739101097707489</v>
      </c>
      <c r="H139">
        <v>0.17913862054210622</v>
      </c>
      <c r="I139">
        <v>2.3199999999999998</v>
      </c>
      <c r="J139">
        <v>7.72</v>
      </c>
      <c r="K139">
        <v>22.7</v>
      </c>
      <c r="L139">
        <v>1962.38</v>
      </c>
      <c r="M139">
        <v>435.4</v>
      </c>
      <c r="N139">
        <f t="shared" si="10"/>
        <v>29.32116584105459</v>
      </c>
    </row>
    <row r="140" spans="1:14" x14ac:dyDescent="0.3">
      <c r="A140" t="s">
        <v>187</v>
      </c>
      <c r="B140" t="s">
        <v>15</v>
      </c>
      <c r="C140">
        <v>0</v>
      </c>
      <c r="D140">
        <v>6.1238996117885067E-4</v>
      </c>
      <c r="E140">
        <v>2.0613483514680957E-3</v>
      </c>
      <c r="F140">
        <v>8.5461206189512817E-3</v>
      </c>
      <c r="G140">
        <v>0.7545355131499808</v>
      </c>
      <c r="H140">
        <v>0.23424462791842091</v>
      </c>
      <c r="I140">
        <v>1.1200000000000001</v>
      </c>
      <c r="J140">
        <v>3.77</v>
      </c>
      <c r="K140">
        <v>15.63</v>
      </c>
      <c r="L140">
        <v>1379.97</v>
      </c>
      <c r="M140">
        <v>428.41</v>
      </c>
      <c r="N140">
        <f t="shared" si="10"/>
        <v>29.439477281425994</v>
      </c>
    </row>
    <row r="141" spans="1:14" x14ac:dyDescent="0.3">
      <c r="A141" t="s">
        <v>187</v>
      </c>
      <c r="B141" t="s">
        <v>15</v>
      </c>
      <c r="C141">
        <v>0</v>
      </c>
      <c r="D141">
        <v>9.7498160412067697E-4</v>
      </c>
      <c r="E141">
        <v>8.2597498160412071E-3</v>
      </c>
      <c r="F141">
        <v>3.189845474613686E-2</v>
      </c>
      <c r="G141">
        <v>0.32562545989698305</v>
      </c>
      <c r="H141">
        <v>0.63324135393671821</v>
      </c>
      <c r="I141">
        <v>0.53</v>
      </c>
      <c r="J141">
        <v>4.49</v>
      </c>
      <c r="K141">
        <v>17.34</v>
      </c>
      <c r="L141">
        <v>177.01</v>
      </c>
      <c r="M141">
        <v>344.23</v>
      </c>
      <c r="N141">
        <f t="shared" si="10"/>
        <v>30.163796909492273</v>
      </c>
    </row>
    <row r="142" spans="1:14" x14ac:dyDescent="0.3">
      <c r="A142" t="s">
        <v>187</v>
      </c>
      <c r="B142" t="s">
        <v>15</v>
      </c>
      <c r="C142">
        <v>0</v>
      </c>
      <c r="D142">
        <v>1.1090683081870082E-3</v>
      </c>
      <c r="E142">
        <v>3.0145816430586464E-3</v>
      </c>
      <c r="F142">
        <v>8.8129991737813263E-3</v>
      </c>
      <c r="G142">
        <v>0.75450884649452532</v>
      </c>
      <c r="H142">
        <v>0.23255450438044764</v>
      </c>
      <c r="I142">
        <v>1.49</v>
      </c>
      <c r="J142">
        <v>4.05</v>
      </c>
      <c r="K142">
        <v>11.84</v>
      </c>
      <c r="L142">
        <v>1013.66</v>
      </c>
      <c r="M142">
        <v>312.43</v>
      </c>
      <c r="N142">
        <f t="shared" si="10"/>
        <v>29.428770273991976</v>
      </c>
    </row>
    <row r="143" spans="1:14" x14ac:dyDescent="0.3">
      <c r="A143" t="s">
        <v>187</v>
      </c>
      <c r="B143" t="s">
        <v>15</v>
      </c>
      <c r="C143">
        <v>0</v>
      </c>
      <c r="D143">
        <v>6.8885448916408665E-4</v>
      </c>
      <c r="E143">
        <v>2.2832817337461301E-3</v>
      </c>
      <c r="F143">
        <v>6.8343653250773993E-3</v>
      </c>
      <c r="G143">
        <v>0.74879256965944274</v>
      </c>
      <c r="H143">
        <v>0.24140092879256964</v>
      </c>
      <c r="I143">
        <v>0.89</v>
      </c>
      <c r="J143">
        <v>2.95</v>
      </c>
      <c r="K143">
        <v>8.83</v>
      </c>
      <c r="L143">
        <v>967.44</v>
      </c>
      <c r="M143">
        <v>311.89</v>
      </c>
      <c r="N143">
        <f t="shared" si="10"/>
        <v>29.455866873065013</v>
      </c>
    </row>
    <row r="144" spans="1:14" x14ac:dyDescent="0.3">
      <c r="A144" t="s">
        <v>187</v>
      </c>
      <c r="B144" t="s">
        <v>15</v>
      </c>
      <c r="C144">
        <v>0</v>
      </c>
      <c r="D144">
        <v>2.1984163949697252E-3</v>
      </c>
      <c r="E144">
        <v>9.650675360968794E-3</v>
      </c>
      <c r="F144">
        <v>4.6427573358174198E-2</v>
      </c>
      <c r="G144">
        <v>0.46299021891010711</v>
      </c>
      <c r="H144">
        <v>0.47873311597578011</v>
      </c>
      <c r="I144">
        <v>1.18</v>
      </c>
      <c r="J144">
        <v>5.18</v>
      </c>
      <c r="K144">
        <v>24.92</v>
      </c>
      <c r="L144">
        <v>248.51</v>
      </c>
      <c r="M144">
        <v>256.95999999999998</v>
      </c>
      <c r="N144">
        <f t="shared" si="10"/>
        <v>29.812817885421516</v>
      </c>
    </row>
    <row r="145" spans="1:14" x14ac:dyDescent="0.3">
      <c r="A145" t="s">
        <v>187</v>
      </c>
      <c r="B145" t="s">
        <v>15</v>
      </c>
      <c r="C145">
        <v>0</v>
      </c>
      <c r="D145">
        <v>1.3460208259333346E-3</v>
      </c>
      <c r="E145">
        <v>4.4306518853638932E-3</v>
      </c>
      <c r="F145">
        <v>1.367519769680881E-2</v>
      </c>
      <c r="G145">
        <v>0.77364416443887762</v>
      </c>
      <c r="H145">
        <v>0.2069039651530164</v>
      </c>
      <c r="I145">
        <v>1.44</v>
      </c>
      <c r="J145">
        <v>4.74</v>
      </c>
      <c r="K145">
        <v>14.63</v>
      </c>
      <c r="L145">
        <v>827.66</v>
      </c>
      <c r="M145">
        <v>221.35</v>
      </c>
      <c r="N145">
        <f t="shared" si="10"/>
        <v>29.360658802415362</v>
      </c>
    </row>
    <row r="146" spans="1:14" x14ac:dyDescent="0.3">
      <c r="A146" t="s">
        <v>187</v>
      </c>
      <c r="B146" t="s">
        <v>15</v>
      </c>
      <c r="C146">
        <v>0</v>
      </c>
      <c r="D146">
        <v>4.8941259465834818E-3</v>
      </c>
      <c r="E146">
        <v>1.2543953439666671E-2</v>
      </c>
      <c r="F146">
        <v>3.6408328832354141E-2</v>
      </c>
      <c r="G146">
        <v>0.78916678608040036</v>
      </c>
      <c r="H146">
        <v>0.15698680570099535</v>
      </c>
      <c r="I146">
        <v>4.4400000000000004</v>
      </c>
      <c r="J146">
        <v>11.38</v>
      </c>
      <c r="K146">
        <v>33.03</v>
      </c>
      <c r="L146">
        <v>715.94</v>
      </c>
      <c r="M146">
        <v>142.41999999999999</v>
      </c>
      <c r="N146">
        <f t="shared" si="10"/>
        <v>29.161616384299112</v>
      </c>
    </row>
    <row r="147" spans="1:14" x14ac:dyDescent="0.3">
      <c r="A147" t="s">
        <v>35</v>
      </c>
      <c r="B147" t="s">
        <v>31</v>
      </c>
      <c r="C147">
        <v>0</v>
      </c>
      <c r="D147">
        <v>0.24793317991988409</v>
      </c>
      <c r="E147">
        <v>0.24716611267365551</v>
      </c>
      <c r="F147">
        <v>0.45478564731952614</v>
      </c>
      <c r="G147">
        <v>3.2131594647575215E-2</v>
      </c>
      <c r="H147">
        <v>1.7983465439359071E-2</v>
      </c>
      <c r="I147">
        <v>29.09</v>
      </c>
      <c r="J147">
        <v>29</v>
      </c>
      <c r="K147">
        <v>53.36</v>
      </c>
      <c r="L147">
        <v>3.77</v>
      </c>
      <c r="M147">
        <v>2.11</v>
      </c>
      <c r="N147">
        <f t="shared" si="10"/>
        <v>25.65013210602574</v>
      </c>
    </row>
    <row r="148" spans="1:14" x14ac:dyDescent="0.3">
      <c r="A148" t="s">
        <v>36</v>
      </c>
      <c r="B148" t="s">
        <v>31</v>
      </c>
      <c r="C148">
        <v>0</v>
      </c>
      <c r="D148">
        <v>0.20307769929364278</v>
      </c>
      <c r="E148">
        <v>0.13975782038345103</v>
      </c>
      <c r="F148">
        <v>0.29389505549949541</v>
      </c>
      <c r="G148">
        <v>0.348385469223007</v>
      </c>
      <c r="H148">
        <v>1.4883955600403629E-2</v>
      </c>
      <c r="I148">
        <v>16.100000000000001</v>
      </c>
      <c r="J148">
        <v>11.08</v>
      </c>
      <c r="K148">
        <v>23.3</v>
      </c>
      <c r="L148">
        <v>27.62</v>
      </c>
      <c r="M148">
        <v>1.18</v>
      </c>
      <c r="N148">
        <f t="shared" si="10"/>
        <v>26.664480322906154</v>
      </c>
    </row>
    <row r="149" spans="1:14" x14ac:dyDescent="0.3">
      <c r="A149" t="s">
        <v>37</v>
      </c>
      <c r="B149" t="s">
        <v>31</v>
      </c>
      <c r="C149">
        <v>0</v>
      </c>
      <c r="D149">
        <v>0.19725082318507292</v>
      </c>
      <c r="E149">
        <v>9.7371034338577314E-2</v>
      </c>
      <c r="F149">
        <v>0.53295353577588456</v>
      </c>
      <c r="G149">
        <v>0.14388752417289499</v>
      </c>
      <c r="H149">
        <v>2.8537082527570163E-2</v>
      </c>
      <c r="I149">
        <v>37.74</v>
      </c>
      <c r="J149">
        <v>18.63</v>
      </c>
      <c r="K149">
        <v>101.97</v>
      </c>
      <c r="L149">
        <v>27.53</v>
      </c>
      <c r="M149">
        <v>5.46</v>
      </c>
      <c r="N149">
        <f t="shared" si="10"/>
        <v>26.418178017038624</v>
      </c>
    </row>
    <row r="150" spans="1:14" x14ac:dyDescent="0.3">
      <c r="A150" t="s">
        <v>138</v>
      </c>
      <c r="B150" t="s">
        <v>31</v>
      </c>
      <c r="C150">
        <v>0</v>
      </c>
      <c r="D150">
        <v>0.15384615384615385</v>
      </c>
      <c r="E150">
        <v>0.22596153846153844</v>
      </c>
      <c r="F150">
        <v>0.19230769230769232</v>
      </c>
      <c r="G150">
        <v>0.17788461538461536</v>
      </c>
      <c r="H150">
        <v>0.25</v>
      </c>
      <c r="I150">
        <v>0.32</v>
      </c>
      <c r="J150">
        <v>0.47</v>
      </c>
      <c r="K150">
        <v>0.4</v>
      </c>
      <c r="L150">
        <v>0.37</v>
      </c>
      <c r="M150">
        <v>0.52</v>
      </c>
      <c r="N150">
        <f t="shared" si="10"/>
        <v>27.28846153846154</v>
      </c>
    </row>
    <row r="151" spans="1:14" x14ac:dyDescent="0.3">
      <c r="A151" t="s">
        <v>38</v>
      </c>
      <c r="B151" t="s">
        <v>31</v>
      </c>
      <c r="C151">
        <v>0</v>
      </c>
      <c r="D151">
        <v>8.4105084105084119E-2</v>
      </c>
      <c r="E151">
        <v>0.17718767718767719</v>
      </c>
      <c r="F151">
        <v>0.23247023247023249</v>
      </c>
      <c r="G151">
        <v>0.40767340767340771</v>
      </c>
      <c r="H151">
        <v>9.8563598563598573E-2</v>
      </c>
      <c r="I151">
        <v>8.9</v>
      </c>
      <c r="J151">
        <v>18.75</v>
      </c>
      <c r="K151">
        <v>24.6</v>
      </c>
      <c r="L151">
        <v>43.14</v>
      </c>
      <c r="M151">
        <v>10.43</v>
      </c>
      <c r="N151">
        <f t="shared" si="10"/>
        <v>27.518805518805515</v>
      </c>
    </row>
    <row r="152" spans="1:14" x14ac:dyDescent="0.3">
      <c r="A152" t="s">
        <v>39</v>
      </c>
      <c r="B152" t="s">
        <v>31</v>
      </c>
      <c r="C152">
        <v>0</v>
      </c>
      <c r="D152">
        <v>0.20241411327762304</v>
      </c>
      <c r="E152">
        <v>0.13463324048282266</v>
      </c>
      <c r="F152">
        <v>0.42757660167130923</v>
      </c>
      <c r="G152">
        <v>0.14391829155060354</v>
      </c>
      <c r="H152">
        <v>9.1457753017641599E-2</v>
      </c>
      <c r="I152">
        <v>4.3600000000000003</v>
      </c>
      <c r="J152">
        <v>2.9</v>
      </c>
      <c r="K152">
        <v>9.2100000000000009</v>
      </c>
      <c r="L152">
        <v>3.1</v>
      </c>
      <c r="M152">
        <v>1.97</v>
      </c>
      <c r="N152">
        <f t="shared" si="10"/>
        <v>26.574744661095636</v>
      </c>
    </row>
    <row r="153" spans="1:14" x14ac:dyDescent="0.3">
      <c r="A153" t="s">
        <v>39</v>
      </c>
      <c r="B153" t="s">
        <v>31</v>
      </c>
      <c r="C153">
        <v>0</v>
      </c>
      <c r="D153">
        <v>0.18057510557007841</v>
      </c>
      <c r="E153">
        <v>0.19314297204906494</v>
      </c>
      <c r="F153">
        <v>0.56686104966820827</v>
      </c>
      <c r="G153">
        <v>5.8717072189825047E-2</v>
      </c>
      <c r="H153">
        <v>7.038005228232455E-4</v>
      </c>
      <c r="I153">
        <v>17.96</v>
      </c>
      <c r="J153">
        <v>19.21</v>
      </c>
      <c r="K153">
        <v>56.38</v>
      </c>
      <c r="L153">
        <v>5.84</v>
      </c>
      <c r="M153">
        <v>7.0000000000000007E-2</v>
      </c>
      <c r="N153">
        <f t="shared" si="10"/>
        <v>26.011662980092499</v>
      </c>
    </row>
    <row r="154" spans="1:14" x14ac:dyDescent="0.3">
      <c r="A154" t="s">
        <v>40</v>
      </c>
      <c r="B154" t="s">
        <v>31</v>
      </c>
      <c r="C154">
        <v>0</v>
      </c>
      <c r="D154">
        <v>6.8461538461538476E-2</v>
      </c>
      <c r="E154">
        <v>0.17442307692307696</v>
      </c>
      <c r="F154">
        <v>0.14221153846153847</v>
      </c>
      <c r="G154">
        <v>0.33076923076923082</v>
      </c>
      <c r="H154">
        <v>0.28413461538461543</v>
      </c>
      <c r="I154">
        <v>7.12</v>
      </c>
      <c r="J154">
        <v>18.14</v>
      </c>
      <c r="K154">
        <v>14.79</v>
      </c>
      <c r="L154">
        <v>34.4</v>
      </c>
      <c r="M154">
        <v>29.55</v>
      </c>
      <c r="N154">
        <f t="shared" si="10"/>
        <v>28.175384615384608</v>
      </c>
    </row>
    <row r="155" spans="1:14" x14ac:dyDescent="0.3">
      <c r="A155" t="s">
        <v>41</v>
      </c>
      <c r="B155" t="s">
        <v>31</v>
      </c>
      <c r="C155">
        <v>0</v>
      </c>
      <c r="D155">
        <v>3.386363636363636E-2</v>
      </c>
      <c r="E155">
        <v>8.372727272727272E-2</v>
      </c>
      <c r="F155">
        <v>0.16586363636363635</v>
      </c>
      <c r="G155">
        <v>0.46445454545454545</v>
      </c>
      <c r="H155">
        <v>0.25209090909090909</v>
      </c>
      <c r="I155">
        <v>7.45</v>
      </c>
      <c r="J155">
        <v>18.420000000000002</v>
      </c>
      <c r="K155">
        <v>36.49</v>
      </c>
      <c r="L155">
        <v>102.18</v>
      </c>
      <c r="M155">
        <v>55.46</v>
      </c>
      <c r="N155">
        <f t="shared" si="10"/>
        <v>28.634363636363638</v>
      </c>
    </row>
    <row r="156" spans="1:14" x14ac:dyDescent="0.3">
      <c r="A156" t="s">
        <v>42</v>
      </c>
      <c r="B156" t="s">
        <v>31</v>
      </c>
      <c r="C156">
        <v>0</v>
      </c>
      <c r="D156">
        <v>0.11277266530334014</v>
      </c>
      <c r="E156">
        <v>0.16956373551465573</v>
      </c>
      <c r="F156">
        <v>0.48261758691206541</v>
      </c>
      <c r="G156">
        <v>0.1437457396046353</v>
      </c>
      <c r="H156">
        <v>9.1300272665303328E-2</v>
      </c>
      <c r="I156">
        <v>26.47</v>
      </c>
      <c r="J156">
        <v>39.799999999999997</v>
      </c>
      <c r="K156">
        <v>113.28</v>
      </c>
      <c r="L156">
        <v>33.74</v>
      </c>
      <c r="M156">
        <v>21.43</v>
      </c>
      <c r="N156">
        <f t="shared" si="10"/>
        <v>26.862474437627814</v>
      </c>
    </row>
    <row r="157" spans="1:14" x14ac:dyDescent="0.3">
      <c r="A157" t="s">
        <v>42</v>
      </c>
      <c r="B157" t="s">
        <v>31</v>
      </c>
      <c r="C157">
        <v>0</v>
      </c>
      <c r="D157">
        <v>7.9311444054829455E-2</v>
      </c>
      <c r="E157">
        <v>7.3190946764424614E-2</v>
      </c>
      <c r="F157">
        <v>0.7761555626394645</v>
      </c>
      <c r="G157">
        <v>5.0239081925406444E-2</v>
      </c>
      <c r="H157">
        <v>2.110296461587504E-2</v>
      </c>
      <c r="I157">
        <v>12.44</v>
      </c>
      <c r="J157">
        <v>11.48</v>
      </c>
      <c r="K157">
        <v>121.74</v>
      </c>
      <c r="L157">
        <v>7.88</v>
      </c>
      <c r="M157">
        <v>3.31</v>
      </c>
      <c r="N157">
        <f t="shared" si="10"/>
        <v>26.721262352566139</v>
      </c>
    </row>
    <row r="158" spans="1:14" x14ac:dyDescent="0.3">
      <c r="A158" t="s">
        <v>43</v>
      </c>
      <c r="B158" t="s">
        <v>31</v>
      </c>
      <c r="C158">
        <v>0</v>
      </c>
      <c r="D158">
        <v>1.566696508504924E-2</v>
      </c>
      <c r="E158">
        <v>3.8645180543121459E-2</v>
      </c>
      <c r="F158">
        <v>9.0943002088928679E-2</v>
      </c>
      <c r="G158">
        <v>0.44934347955834081</v>
      </c>
      <c r="H158">
        <v>0.40540137272455989</v>
      </c>
      <c r="I158">
        <v>4.2</v>
      </c>
      <c r="J158">
        <v>10.36</v>
      </c>
      <c r="K158">
        <v>24.38</v>
      </c>
      <c r="L158">
        <v>120.46</v>
      </c>
      <c r="M158">
        <v>108.68</v>
      </c>
      <c r="N158">
        <f t="shared" si="10"/>
        <v>29.380334228588481</v>
      </c>
    </row>
    <row r="159" spans="1:14" x14ac:dyDescent="0.3">
      <c r="A159" t="s">
        <v>44</v>
      </c>
      <c r="B159" t="s">
        <v>15</v>
      </c>
      <c r="C159">
        <v>0</v>
      </c>
      <c r="D159">
        <v>0.19534092103434128</v>
      </c>
      <c r="E159">
        <v>0.57295957633640837</v>
      </c>
      <c r="F159">
        <v>9.8160372400839441E-2</v>
      </c>
      <c r="G159">
        <v>3.0544056470396777E-2</v>
      </c>
      <c r="H159">
        <v>0.10299507375801405</v>
      </c>
      <c r="I159">
        <v>1152.32</v>
      </c>
      <c r="J159">
        <v>3379.9</v>
      </c>
      <c r="K159">
        <v>579.04999999999995</v>
      </c>
      <c r="L159">
        <v>180.18</v>
      </c>
      <c r="M159">
        <v>607.57000000000005</v>
      </c>
      <c r="N159">
        <f t="shared" si="10"/>
        <v>25.545785571162664</v>
      </c>
    </row>
    <row r="160" spans="1:14" x14ac:dyDescent="0.3">
      <c r="A160" t="s">
        <v>44</v>
      </c>
      <c r="B160" t="s">
        <v>15</v>
      </c>
      <c r="C160">
        <v>0</v>
      </c>
      <c r="D160">
        <v>0.14886496723825793</v>
      </c>
      <c r="E160">
        <v>0.56502376925810827</v>
      </c>
      <c r="F160">
        <v>0.1123106390388299</v>
      </c>
      <c r="G160">
        <v>3.5170869122386039E-2</v>
      </c>
      <c r="H160">
        <v>0.13862975534241809</v>
      </c>
      <c r="I160">
        <v>624.1</v>
      </c>
      <c r="J160">
        <v>2368.8000000000002</v>
      </c>
      <c r="K160">
        <v>470.85</v>
      </c>
      <c r="L160">
        <v>147.44999999999999</v>
      </c>
      <c r="M160">
        <v>581.19000000000005</v>
      </c>
      <c r="N160">
        <f t="shared" si="10"/>
        <v>25.899353352145198</v>
      </c>
    </row>
    <row r="161" spans="1:14" x14ac:dyDescent="0.3">
      <c r="A161" t="s">
        <v>44</v>
      </c>
      <c r="B161" t="s">
        <v>15</v>
      </c>
      <c r="C161">
        <v>0</v>
      </c>
      <c r="D161">
        <v>0.56942499950702974</v>
      </c>
      <c r="E161">
        <v>0.11661211129296237</v>
      </c>
      <c r="F161">
        <v>4.6284976238834222E-2</v>
      </c>
      <c r="G161">
        <v>0.17682349693372509</v>
      </c>
      <c r="H161">
        <v>9.0854416027448592E-2</v>
      </c>
      <c r="I161">
        <v>1155.0899999999999</v>
      </c>
      <c r="J161">
        <v>236.55</v>
      </c>
      <c r="K161">
        <v>93.89</v>
      </c>
      <c r="L161">
        <v>358.69</v>
      </c>
      <c r="M161">
        <v>184.3</v>
      </c>
      <c r="N161">
        <f t="shared" si="10"/>
        <v>25.206140437363207</v>
      </c>
    </row>
    <row r="162" spans="1:14" x14ac:dyDescent="0.3">
      <c r="A162" t="s">
        <v>44</v>
      </c>
      <c r="B162" t="s">
        <v>15</v>
      </c>
      <c r="C162">
        <v>0</v>
      </c>
      <c r="D162">
        <v>0.59326259127710734</v>
      </c>
      <c r="E162">
        <v>0.14335745328597585</v>
      </c>
      <c r="F162">
        <v>4.1391824218491469E-2</v>
      </c>
      <c r="G162">
        <v>0.16493856030355841</v>
      </c>
      <c r="H162">
        <v>5.7049570914866857E-2</v>
      </c>
      <c r="I162">
        <v>1075.68</v>
      </c>
      <c r="J162">
        <v>259.93</v>
      </c>
      <c r="K162">
        <v>75.05</v>
      </c>
      <c r="L162">
        <v>299.06</v>
      </c>
      <c r="M162">
        <v>103.44</v>
      </c>
      <c r="N162">
        <f t="shared" si="10"/>
        <v>24.8983101325862</v>
      </c>
    </row>
    <row r="163" spans="1:14" x14ac:dyDescent="0.3">
      <c r="A163" t="s">
        <v>44</v>
      </c>
      <c r="B163" t="s">
        <v>15</v>
      </c>
      <c r="C163">
        <v>0</v>
      </c>
      <c r="D163">
        <v>0.57459031485914192</v>
      </c>
      <c r="E163">
        <v>0.14439329773522372</v>
      </c>
      <c r="F163">
        <v>6.0983244338059281E-2</v>
      </c>
      <c r="G163">
        <v>0.14752347633953231</v>
      </c>
      <c r="H163">
        <v>7.2509666728042724E-2</v>
      </c>
      <c r="I163">
        <v>156.03</v>
      </c>
      <c r="J163">
        <v>39.21</v>
      </c>
      <c r="K163">
        <v>16.559999999999999</v>
      </c>
      <c r="L163">
        <v>40.06</v>
      </c>
      <c r="M163">
        <v>19.690000000000001</v>
      </c>
      <c r="N163">
        <f t="shared" si="10"/>
        <v>24.997937764684224</v>
      </c>
    </row>
    <row r="164" spans="1:14" x14ac:dyDescent="0.3">
      <c r="A164" t="s">
        <v>140</v>
      </c>
      <c r="B164" t="s">
        <v>22</v>
      </c>
      <c r="C164">
        <v>0</v>
      </c>
      <c r="D164">
        <v>0.27457391993658342</v>
      </c>
      <c r="E164">
        <v>0.20521204914783989</v>
      </c>
      <c r="F164">
        <v>0.18579072532699167</v>
      </c>
      <c r="G164">
        <v>0.17949861276258422</v>
      </c>
      <c r="H164">
        <v>0.1549246928260008</v>
      </c>
      <c r="I164">
        <v>55.42</v>
      </c>
      <c r="J164">
        <v>41.42</v>
      </c>
      <c r="K164">
        <v>37.5</v>
      </c>
      <c r="L164">
        <v>36.229999999999997</v>
      </c>
      <c r="M164">
        <v>31.27</v>
      </c>
      <c r="N164">
        <f t="shared" si="10"/>
        <v>26.46997621878716</v>
      </c>
    </row>
    <row r="165" spans="1:14" x14ac:dyDescent="0.3">
      <c r="A165" t="s">
        <v>140</v>
      </c>
      <c r="B165" t="s">
        <v>22</v>
      </c>
      <c r="C165">
        <v>0</v>
      </c>
      <c r="D165">
        <v>0.26151301471228344</v>
      </c>
      <c r="E165">
        <v>0.18943153129624796</v>
      </c>
      <c r="F165">
        <v>0.22599460259423698</v>
      </c>
      <c r="G165">
        <v>0.1822930268999739</v>
      </c>
      <c r="H165">
        <v>0.1407678244972578</v>
      </c>
      <c r="I165">
        <v>30.04</v>
      </c>
      <c r="J165">
        <v>21.76</v>
      </c>
      <c r="K165">
        <v>25.96</v>
      </c>
      <c r="L165">
        <v>20.94</v>
      </c>
      <c r="M165">
        <v>16.170000000000002</v>
      </c>
      <c r="N165">
        <f t="shared" si="10"/>
        <v>26.502742230347344</v>
      </c>
    </row>
    <row r="166" spans="1:14" x14ac:dyDescent="0.3">
      <c r="A166" t="s">
        <v>45</v>
      </c>
      <c r="B166" t="s">
        <v>34</v>
      </c>
      <c r="C166">
        <v>0</v>
      </c>
      <c r="D166">
        <v>3.49601593625498E-2</v>
      </c>
      <c r="E166">
        <v>0.05</v>
      </c>
      <c r="F166">
        <v>0.14143426294820718</v>
      </c>
      <c r="G166">
        <v>0.50308764940239048</v>
      </c>
      <c r="H166">
        <v>0.27051792828685262</v>
      </c>
      <c r="I166">
        <v>7.02</v>
      </c>
      <c r="J166">
        <v>10.039999999999999</v>
      </c>
      <c r="K166">
        <v>28.4</v>
      </c>
      <c r="L166">
        <v>101.02</v>
      </c>
      <c r="M166">
        <v>54.32</v>
      </c>
      <c r="N166">
        <f t="shared" si="10"/>
        <v>28.848406374501995</v>
      </c>
    </row>
    <row r="167" spans="1:14" x14ac:dyDescent="0.3">
      <c r="A167" t="s">
        <v>164</v>
      </c>
      <c r="B167" t="s">
        <v>149</v>
      </c>
      <c r="C167">
        <v>0</v>
      </c>
      <c r="D167">
        <f>I167/SUM($I167:$M167)</f>
        <v>1</v>
      </c>
      <c r="E167">
        <f>J167/SUM($I167:$M167)</f>
        <v>0</v>
      </c>
      <c r="F167">
        <f>K167/SUM($I167:$M167)</f>
        <v>0</v>
      </c>
      <c r="G167">
        <f>L167/SUM($I167:$M167)</f>
        <v>0</v>
      </c>
      <c r="H167">
        <f>M167/SUM($I167:$M167)</f>
        <v>0</v>
      </c>
      <c r="I167">
        <v>0.57999999999999996</v>
      </c>
      <c r="J167">
        <v>0</v>
      </c>
      <c r="K167">
        <v>0</v>
      </c>
      <c r="L167">
        <v>0</v>
      </c>
      <c r="M167">
        <v>0</v>
      </c>
      <c r="N167">
        <f t="shared" si="10"/>
        <v>23</v>
      </c>
    </row>
    <row r="168" spans="1:14" x14ac:dyDescent="0.3">
      <c r="A168" t="s">
        <v>139</v>
      </c>
      <c r="B168" t="s">
        <v>15</v>
      </c>
      <c r="C168">
        <v>0</v>
      </c>
      <c r="D168">
        <v>6.5075921908893716E-3</v>
      </c>
      <c r="E168">
        <v>5.9110629067245131E-2</v>
      </c>
      <c r="F168">
        <v>5.8026030368763568E-2</v>
      </c>
      <c r="G168">
        <v>0.1561822125813449</v>
      </c>
      <c r="H168">
        <v>0.72017353579175714</v>
      </c>
      <c r="I168">
        <v>0.12</v>
      </c>
      <c r="J168">
        <v>1.0900000000000001</v>
      </c>
      <c r="K168">
        <v>1.07</v>
      </c>
      <c r="L168">
        <v>2.88</v>
      </c>
      <c r="M168">
        <v>13.28</v>
      </c>
      <c r="N168">
        <f t="shared" si="10"/>
        <v>30.048806941431671</v>
      </c>
    </row>
    <row r="169" spans="1:14" x14ac:dyDescent="0.3">
      <c r="A169" t="s">
        <v>181</v>
      </c>
      <c r="B169" t="s">
        <v>34</v>
      </c>
      <c r="C169">
        <v>0</v>
      </c>
      <c r="D169">
        <v>0.1179596174282678</v>
      </c>
      <c r="E169">
        <v>0.46758767268862911</v>
      </c>
      <c r="F169">
        <v>0.20935175345377258</v>
      </c>
      <c r="G169">
        <v>0.1785334750265675</v>
      </c>
      <c r="H169">
        <v>2.6567481402763018E-2</v>
      </c>
      <c r="I169">
        <v>222</v>
      </c>
      <c r="J169">
        <v>880</v>
      </c>
      <c r="K169">
        <v>394</v>
      </c>
      <c r="L169">
        <v>336</v>
      </c>
      <c r="M169">
        <v>50</v>
      </c>
      <c r="N169">
        <f t="shared" si="10"/>
        <v>26.05632306057386</v>
      </c>
    </row>
    <row r="170" spans="1:14" x14ac:dyDescent="0.3">
      <c r="A170" t="s">
        <v>166</v>
      </c>
      <c r="B170" t="s">
        <v>15</v>
      </c>
      <c r="C170">
        <v>0</v>
      </c>
      <c r="D170">
        <v>1.8878828742053551E-2</v>
      </c>
      <c r="E170">
        <v>0.20246580620304372</v>
      </c>
      <c r="F170">
        <v>0.57984973993450206</v>
      </c>
      <c r="G170">
        <v>0.15642458100558657</v>
      </c>
      <c r="H170">
        <v>4.2381044114814102E-2</v>
      </c>
      <c r="I170">
        <v>0.98</v>
      </c>
      <c r="J170">
        <v>10.51</v>
      </c>
      <c r="K170">
        <v>30.1</v>
      </c>
      <c r="L170">
        <v>8.1199999999999992</v>
      </c>
      <c r="M170">
        <v>2.2000000000000002</v>
      </c>
      <c r="N170">
        <f t="shared" si="10"/>
        <v>27.001926411096129</v>
      </c>
    </row>
    <row r="171" spans="1:14" x14ac:dyDescent="0.3">
      <c r="A171" t="s">
        <v>46</v>
      </c>
      <c r="B171" t="s">
        <v>34</v>
      </c>
      <c r="C171">
        <v>0</v>
      </c>
      <c r="D171">
        <v>0.44444444444444442</v>
      </c>
      <c r="E171">
        <v>0.33333333333333331</v>
      </c>
      <c r="F171">
        <v>0.22222222222222221</v>
      </c>
      <c r="G171">
        <v>0</v>
      </c>
      <c r="H171">
        <v>0</v>
      </c>
      <c r="I171">
        <v>40</v>
      </c>
      <c r="J171">
        <v>30</v>
      </c>
      <c r="K171">
        <v>20</v>
      </c>
      <c r="L171">
        <v>0</v>
      </c>
      <c r="M171">
        <v>0</v>
      </c>
      <c r="N171">
        <f t="shared" si="10"/>
        <v>24.555555555555557</v>
      </c>
    </row>
    <row r="172" spans="1:14" x14ac:dyDescent="0.3">
      <c r="A172" t="s">
        <v>46</v>
      </c>
      <c r="B172" t="s">
        <v>34</v>
      </c>
      <c r="C172">
        <v>0</v>
      </c>
      <c r="D172">
        <v>0.4</v>
      </c>
      <c r="E172">
        <v>0.5</v>
      </c>
      <c r="F172">
        <v>0.1</v>
      </c>
      <c r="G172">
        <v>0</v>
      </c>
      <c r="H172">
        <v>0</v>
      </c>
      <c r="I172">
        <v>40</v>
      </c>
      <c r="J172">
        <v>50</v>
      </c>
      <c r="K172">
        <v>10</v>
      </c>
      <c r="L172">
        <v>0</v>
      </c>
      <c r="M172">
        <v>0</v>
      </c>
      <c r="N172">
        <f t="shared" si="10"/>
        <v>24.400000000000002</v>
      </c>
    </row>
    <row r="173" spans="1:14" x14ac:dyDescent="0.3">
      <c r="A173" t="s">
        <v>46</v>
      </c>
      <c r="B173" t="s">
        <v>34</v>
      </c>
      <c r="C173">
        <v>0</v>
      </c>
      <c r="D173">
        <v>0.5</v>
      </c>
      <c r="E173">
        <v>0.3</v>
      </c>
      <c r="F173">
        <v>0.2</v>
      </c>
      <c r="G173">
        <v>0</v>
      </c>
      <c r="H173">
        <v>0</v>
      </c>
      <c r="I173">
        <v>50</v>
      </c>
      <c r="J173">
        <v>30</v>
      </c>
      <c r="K173">
        <v>20</v>
      </c>
      <c r="L173">
        <v>0</v>
      </c>
      <c r="M173">
        <v>0</v>
      </c>
      <c r="N173">
        <f t="shared" si="10"/>
        <v>24.4</v>
      </c>
    </row>
    <row r="174" spans="1:14" x14ac:dyDescent="0.3">
      <c r="A174" t="s">
        <v>46</v>
      </c>
      <c r="B174" t="s">
        <v>34</v>
      </c>
      <c r="C174">
        <v>0</v>
      </c>
      <c r="D174">
        <v>0.5</v>
      </c>
      <c r="E174">
        <v>0.3</v>
      </c>
      <c r="F174">
        <v>0.2</v>
      </c>
      <c r="G174">
        <v>0</v>
      </c>
      <c r="H174">
        <v>0</v>
      </c>
      <c r="I174">
        <v>50</v>
      </c>
      <c r="J174">
        <v>30</v>
      </c>
      <c r="K174">
        <v>20</v>
      </c>
      <c r="L174">
        <v>0</v>
      </c>
      <c r="M174">
        <v>0</v>
      </c>
      <c r="N174">
        <f t="shared" si="10"/>
        <v>24.4</v>
      </c>
    </row>
    <row r="175" spans="1:14" x14ac:dyDescent="0.3">
      <c r="A175" t="s">
        <v>150</v>
      </c>
      <c r="B175" t="s">
        <v>144</v>
      </c>
      <c r="C175">
        <v>0</v>
      </c>
      <c r="D175">
        <f t="shared" ref="D175:H177" si="12">I175/SUM($I175:$M175)</f>
        <v>0.32860986547085203</v>
      </c>
      <c r="E175">
        <f t="shared" si="12"/>
        <v>0.16430493273542601</v>
      </c>
      <c r="F175">
        <f t="shared" si="12"/>
        <v>0.23623318385650222</v>
      </c>
      <c r="G175">
        <f t="shared" si="12"/>
        <v>0.18278026905829595</v>
      </c>
      <c r="H175">
        <f t="shared" si="12"/>
        <v>8.8071748878923758E-2</v>
      </c>
      <c r="I175">
        <v>1.8320000000000001</v>
      </c>
      <c r="J175">
        <v>0.91600000000000004</v>
      </c>
      <c r="K175">
        <v>1.3169999999999999</v>
      </c>
      <c r="L175">
        <v>1.0189999999999999</v>
      </c>
      <c r="M175">
        <v>0.49099999999999999</v>
      </c>
      <c r="N175">
        <f t="shared" si="10"/>
        <v>26.074798206278029</v>
      </c>
    </row>
    <row r="176" spans="1:14" x14ac:dyDescent="0.3">
      <c r="A176" t="s">
        <v>150</v>
      </c>
      <c r="B176" t="s">
        <v>144</v>
      </c>
      <c r="C176">
        <v>0</v>
      </c>
      <c r="D176">
        <f t="shared" si="12"/>
        <v>0.25219941348973607</v>
      </c>
      <c r="E176">
        <f t="shared" si="12"/>
        <v>0.26295210166177907</v>
      </c>
      <c r="F176">
        <f t="shared" si="12"/>
        <v>0.16226783968719452</v>
      </c>
      <c r="G176">
        <f t="shared" si="12"/>
        <v>0.21309872922776146</v>
      </c>
      <c r="H176">
        <f t="shared" si="12"/>
        <v>0.10948191593352882</v>
      </c>
      <c r="I176">
        <v>0.25800000000000001</v>
      </c>
      <c r="J176">
        <v>0.26900000000000002</v>
      </c>
      <c r="K176">
        <v>0.16600000000000001</v>
      </c>
      <c r="L176">
        <v>0.218</v>
      </c>
      <c r="M176">
        <v>0.112</v>
      </c>
      <c r="N176">
        <f t="shared" si="10"/>
        <v>26.329423264907142</v>
      </c>
    </row>
    <row r="177" spans="1:14" x14ac:dyDescent="0.3">
      <c r="A177" t="s">
        <v>150</v>
      </c>
      <c r="B177" t="s">
        <v>144</v>
      </c>
      <c r="C177">
        <v>0</v>
      </c>
      <c r="D177">
        <f t="shared" si="12"/>
        <v>0.16543209876543213</v>
      </c>
      <c r="E177">
        <f t="shared" si="12"/>
        <v>0.13580246913580249</v>
      </c>
      <c r="F177">
        <f t="shared" si="12"/>
        <v>0.19753086419753088</v>
      </c>
      <c r="G177">
        <f t="shared" si="12"/>
        <v>0.37037037037037041</v>
      </c>
      <c r="H177">
        <f t="shared" si="12"/>
        <v>0.1308641975308642</v>
      </c>
      <c r="I177">
        <v>6.7000000000000004E-2</v>
      </c>
      <c r="J177">
        <v>5.5E-2</v>
      </c>
      <c r="K177">
        <v>0.08</v>
      </c>
      <c r="L177">
        <v>0.15</v>
      </c>
      <c r="M177">
        <v>5.2999999999999999E-2</v>
      </c>
      <c r="N177">
        <f t="shared" si="10"/>
        <v>27.330864197530868</v>
      </c>
    </row>
    <row r="178" spans="1:14" x14ac:dyDescent="0.3">
      <c r="A178" t="s">
        <v>113</v>
      </c>
      <c r="B178" t="s">
        <v>15</v>
      </c>
      <c r="C178">
        <v>0</v>
      </c>
      <c r="D178">
        <v>2.9824459379750933E-2</v>
      </c>
      <c r="E178">
        <v>3.1577373287585878E-2</v>
      </c>
      <c r="F178">
        <v>0.15915793671233106</v>
      </c>
      <c r="G178">
        <v>9.6975185052878179E-2</v>
      </c>
      <c r="H178">
        <v>0.68246504556745391</v>
      </c>
      <c r="I178">
        <v>35.9</v>
      </c>
      <c r="J178">
        <v>38.01</v>
      </c>
      <c r="K178">
        <v>191.58</v>
      </c>
      <c r="L178">
        <v>116.73</v>
      </c>
      <c r="M178">
        <v>821.49</v>
      </c>
      <c r="N178">
        <f t="shared" si="10"/>
        <v>29.741357968281395</v>
      </c>
    </row>
    <row r="179" spans="1:14" x14ac:dyDescent="0.3">
      <c r="A179" t="s">
        <v>54</v>
      </c>
      <c r="B179" t="s">
        <v>47</v>
      </c>
      <c r="C179">
        <v>0</v>
      </c>
      <c r="D179">
        <v>3.6311762417325893E-2</v>
      </c>
      <c r="E179">
        <v>7.4374270522630015E-2</v>
      </c>
      <c r="F179">
        <v>9.8819867721436916E-2</v>
      </c>
      <c r="G179">
        <v>0.45208144209570744</v>
      </c>
      <c r="H179">
        <v>0.33841265724289976</v>
      </c>
      <c r="I179">
        <v>5.6</v>
      </c>
      <c r="J179">
        <v>11.47</v>
      </c>
      <c r="K179">
        <v>15.24</v>
      </c>
      <c r="L179">
        <v>69.72</v>
      </c>
      <c r="M179">
        <v>52.19</v>
      </c>
      <c r="N179">
        <f t="shared" si="10"/>
        <v>28.963817922448452</v>
      </c>
    </row>
    <row r="180" spans="1:14" x14ac:dyDescent="0.3">
      <c r="A180" t="s">
        <v>48</v>
      </c>
      <c r="B180" t="s">
        <v>18</v>
      </c>
      <c r="C180">
        <v>0</v>
      </c>
      <c r="D180">
        <v>0.29709228824273071</v>
      </c>
      <c r="E180">
        <v>0.22882427307206066</v>
      </c>
      <c r="F180">
        <v>0.20069532237673826</v>
      </c>
      <c r="G180">
        <v>0.15960809102402021</v>
      </c>
      <c r="H180">
        <v>0.11378002528445005</v>
      </c>
      <c r="I180">
        <v>9.4</v>
      </c>
      <c r="J180">
        <v>7.24</v>
      </c>
      <c r="K180">
        <v>6.35</v>
      </c>
      <c r="L180">
        <v>5.05</v>
      </c>
      <c r="M180">
        <v>3.6</v>
      </c>
      <c r="N180">
        <f t="shared" si="10"/>
        <v>26.128318584070797</v>
      </c>
    </row>
    <row r="181" spans="1:14" x14ac:dyDescent="0.3">
      <c r="A181" t="s">
        <v>114</v>
      </c>
      <c r="B181" t="s">
        <v>15</v>
      </c>
      <c r="C181">
        <v>0</v>
      </c>
      <c r="D181">
        <v>0</v>
      </c>
      <c r="E181">
        <v>2.3286508325019675E-2</v>
      </c>
      <c r="F181">
        <v>0.11476567873541496</v>
      </c>
      <c r="G181">
        <v>0.77567371623673176</v>
      </c>
      <c r="H181">
        <v>8.6274096702833661E-2</v>
      </c>
      <c r="I181">
        <v>0</v>
      </c>
      <c r="J181">
        <v>37.58</v>
      </c>
      <c r="K181">
        <v>185.21</v>
      </c>
      <c r="L181">
        <v>1251.79</v>
      </c>
      <c r="M181">
        <v>139.22999999999999</v>
      </c>
      <c r="N181">
        <f t="shared" si="10"/>
        <v>28.849870802634761</v>
      </c>
    </row>
    <row r="182" spans="1:14" x14ac:dyDescent="0.3">
      <c r="A182" t="s">
        <v>176</v>
      </c>
      <c r="B182" t="s">
        <v>15</v>
      </c>
      <c r="C182">
        <v>0</v>
      </c>
      <c r="D182">
        <v>1.262917167993583E-2</v>
      </c>
      <c r="E182">
        <v>2.0471204635247334E-2</v>
      </c>
      <c r="F182">
        <v>0.10814154912150457</v>
      </c>
      <c r="G182">
        <v>0.75952521141062723</v>
      </c>
      <c r="H182">
        <v>9.923286315268498E-2</v>
      </c>
      <c r="I182">
        <v>14.8</v>
      </c>
      <c r="J182">
        <v>23.99</v>
      </c>
      <c r="K182">
        <v>126.73</v>
      </c>
      <c r="L182">
        <v>890.08</v>
      </c>
      <c r="M182">
        <v>116.29</v>
      </c>
      <c r="N182">
        <f t="shared" si="10"/>
        <v>28.824522779441757</v>
      </c>
    </row>
    <row r="183" spans="1:14" x14ac:dyDescent="0.3">
      <c r="A183" t="s">
        <v>136</v>
      </c>
      <c r="B183" t="s">
        <v>31</v>
      </c>
      <c r="C183">
        <v>0</v>
      </c>
      <c r="D183">
        <v>1.6231168415517913E-3</v>
      </c>
      <c r="E183">
        <v>9.8530050522369298E-3</v>
      </c>
      <c r="F183">
        <v>3.5411380106531339E-2</v>
      </c>
      <c r="G183">
        <v>0.25722972818508105</v>
      </c>
      <c r="H183">
        <v>0.69588276981459896</v>
      </c>
      <c r="I183">
        <v>0.71</v>
      </c>
      <c r="J183">
        <v>4.3099999999999996</v>
      </c>
      <c r="K183">
        <v>15.49</v>
      </c>
      <c r="L183">
        <v>112.52</v>
      </c>
      <c r="M183">
        <v>304.39999999999998</v>
      </c>
      <c r="N183">
        <f t="shared" si="10"/>
        <v>30.271792058157878</v>
      </c>
    </row>
    <row r="184" spans="1:14" x14ac:dyDescent="0.3">
      <c r="A184" t="s">
        <v>136</v>
      </c>
      <c r="B184" t="s">
        <v>31</v>
      </c>
      <c r="C184">
        <v>0</v>
      </c>
      <c r="D184">
        <v>2.1187287627423548E-3</v>
      </c>
      <c r="E184">
        <v>6.1962822306616027E-3</v>
      </c>
      <c r="F184">
        <v>4.2374575254847092E-2</v>
      </c>
      <c r="G184">
        <v>0.34431341195282827</v>
      </c>
      <c r="H184">
        <v>0.60499700179892069</v>
      </c>
      <c r="I184">
        <v>0.53</v>
      </c>
      <c r="J184">
        <v>1.55</v>
      </c>
      <c r="K184">
        <v>10.6</v>
      </c>
      <c r="L184">
        <v>86.13</v>
      </c>
      <c r="M184">
        <v>151.34</v>
      </c>
      <c r="N184">
        <f t="shared" si="10"/>
        <v>30.087747351589044</v>
      </c>
    </row>
    <row r="185" spans="1:14" x14ac:dyDescent="0.3">
      <c r="A185" t="s">
        <v>136</v>
      </c>
      <c r="B185" t="s">
        <v>31</v>
      </c>
      <c r="C185">
        <v>0</v>
      </c>
      <c r="D185">
        <v>2.6979392624728853E-2</v>
      </c>
      <c r="E185">
        <v>2.6233731019522779E-2</v>
      </c>
      <c r="F185">
        <v>0.20054907809110631</v>
      </c>
      <c r="G185">
        <v>0.54731561822125818</v>
      </c>
      <c r="H185">
        <v>0.19892218004338397</v>
      </c>
      <c r="I185">
        <v>7.96</v>
      </c>
      <c r="J185">
        <v>7.74</v>
      </c>
      <c r="K185">
        <v>59.17</v>
      </c>
      <c r="L185">
        <v>161.47999999999999</v>
      </c>
      <c r="M185">
        <v>58.69</v>
      </c>
      <c r="N185">
        <f t="shared" si="10"/>
        <v>28.729934924078083</v>
      </c>
    </row>
    <row r="186" spans="1:14" x14ac:dyDescent="0.3">
      <c r="A186" t="s">
        <v>136</v>
      </c>
      <c r="B186" t="s">
        <v>31</v>
      </c>
      <c r="C186">
        <v>0</v>
      </c>
      <c r="D186">
        <v>2.4039247751430903E-2</v>
      </c>
      <c r="E186">
        <v>3.9329517579721987E-2</v>
      </c>
      <c r="F186">
        <v>0.16598528209321339</v>
      </c>
      <c r="G186">
        <v>0.31259198691741613</v>
      </c>
      <c r="H186">
        <v>0.45805396565821749</v>
      </c>
      <c r="I186">
        <v>2.94</v>
      </c>
      <c r="J186">
        <v>4.8099999999999996</v>
      </c>
      <c r="K186">
        <v>20.3</v>
      </c>
      <c r="L186">
        <v>38.229999999999997</v>
      </c>
      <c r="M186">
        <v>56.02</v>
      </c>
      <c r="N186">
        <f t="shared" si="10"/>
        <v>29.28258381030254</v>
      </c>
    </row>
    <row r="187" spans="1:14" x14ac:dyDescent="0.3">
      <c r="A187" t="s">
        <v>136</v>
      </c>
      <c r="B187" t="s">
        <v>31</v>
      </c>
      <c r="C187">
        <v>0</v>
      </c>
      <c r="D187">
        <v>9.0403337969401937E-3</v>
      </c>
      <c r="E187">
        <v>8.7760778859527114E-2</v>
      </c>
      <c r="F187">
        <v>0.1438108484005563</v>
      </c>
      <c r="G187">
        <v>0.24381084840055633</v>
      </c>
      <c r="H187">
        <v>0.51557719054242002</v>
      </c>
      <c r="I187">
        <v>0.65</v>
      </c>
      <c r="J187">
        <v>6.31</v>
      </c>
      <c r="K187">
        <v>10.34</v>
      </c>
      <c r="L187">
        <v>17.53</v>
      </c>
      <c r="M187">
        <v>37.07</v>
      </c>
      <c r="N187">
        <f t="shared" si="10"/>
        <v>29.338247566063977</v>
      </c>
    </row>
    <row r="188" spans="1:14" x14ac:dyDescent="0.3">
      <c r="A188" t="s">
        <v>136</v>
      </c>
      <c r="B188" t="s">
        <v>31</v>
      </c>
      <c r="C188">
        <v>0</v>
      </c>
      <c r="D188">
        <v>4.6212223878574342E-2</v>
      </c>
      <c r="E188">
        <v>6.1661471744138774E-2</v>
      </c>
      <c r="F188">
        <v>0.17576907440032527</v>
      </c>
      <c r="G188">
        <v>0.38568911776663511</v>
      </c>
      <c r="H188">
        <v>0.3306681122103266</v>
      </c>
      <c r="I188">
        <v>3.41</v>
      </c>
      <c r="J188">
        <v>4.55</v>
      </c>
      <c r="K188">
        <v>12.97</v>
      </c>
      <c r="L188">
        <v>28.46</v>
      </c>
      <c r="M188">
        <v>24.4</v>
      </c>
      <c r="N188">
        <f t="shared" si="10"/>
        <v>28.785878845372004</v>
      </c>
    </row>
    <row r="189" spans="1:14" x14ac:dyDescent="0.3">
      <c r="A189" t="s">
        <v>136</v>
      </c>
      <c r="B189" t="s">
        <v>31</v>
      </c>
      <c r="C189">
        <v>0</v>
      </c>
      <c r="D189">
        <v>0.14818548387096775</v>
      </c>
      <c r="E189">
        <v>0.28427419354838712</v>
      </c>
      <c r="F189">
        <v>0.47883064516129031</v>
      </c>
      <c r="G189">
        <v>6.4516129032258063E-2</v>
      </c>
      <c r="H189">
        <v>2.4193548387096774E-2</v>
      </c>
      <c r="I189">
        <v>147</v>
      </c>
      <c r="J189">
        <v>282</v>
      </c>
      <c r="K189">
        <v>475</v>
      </c>
      <c r="L189">
        <v>64</v>
      </c>
      <c r="M189">
        <v>24</v>
      </c>
      <c r="N189">
        <f t="shared" si="10"/>
        <v>26.06451612903226</v>
      </c>
    </row>
    <row r="190" spans="1:14" x14ac:dyDescent="0.3">
      <c r="A190" t="s">
        <v>49</v>
      </c>
      <c r="B190" t="s">
        <v>47</v>
      </c>
      <c r="C190">
        <v>0</v>
      </c>
      <c r="D190">
        <v>0.27272727272727271</v>
      </c>
      <c r="E190">
        <v>0.31818181818181818</v>
      </c>
      <c r="F190">
        <v>0.22727272727272727</v>
      </c>
      <c r="G190">
        <v>0.13636363636363635</v>
      </c>
      <c r="H190">
        <v>4.5454545454545456E-2</v>
      </c>
      <c r="I190">
        <v>6</v>
      </c>
      <c r="J190">
        <v>7</v>
      </c>
      <c r="K190">
        <v>5</v>
      </c>
      <c r="L190">
        <v>3</v>
      </c>
      <c r="M190">
        <v>1</v>
      </c>
      <c r="N190">
        <f t="shared" si="10"/>
        <v>25.72727272727273</v>
      </c>
    </row>
    <row r="191" spans="1:14" x14ac:dyDescent="0.3">
      <c r="A191" t="s">
        <v>115</v>
      </c>
      <c r="B191" t="s">
        <v>47</v>
      </c>
      <c r="C191">
        <v>0</v>
      </c>
      <c r="D191">
        <v>0.17313964003383797</v>
      </c>
      <c r="E191">
        <v>0.50489192263936289</v>
      </c>
      <c r="F191">
        <v>0.28744202327820073</v>
      </c>
      <c r="G191">
        <v>2.6880779440506406E-2</v>
      </c>
      <c r="H191">
        <v>7.6456346080919467E-3</v>
      </c>
      <c r="I191">
        <v>593.54</v>
      </c>
      <c r="J191">
        <v>1730.82</v>
      </c>
      <c r="K191">
        <v>985.38</v>
      </c>
      <c r="L191">
        <v>92.15</v>
      </c>
      <c r="M191">
        <v>26.21</v>
      </c>
      <c r="N191">
        <f t="shared" si="10"/>
        <v>25.382001691899301</v>
      </c>
    </row>
    <row r="192" spans="1:14" x14ac:dyDescent="0.3">
      <c r="A192" t="s">
        <v>182</v>
      </c>
      <c r="B192" t="s">
        <v>15</v>
      </c>
      <c r="C192">
        <v>0</v>
      </c>
      <c r="D192">
        <v>6.1829303944995514E-4</v>
      </c>
      <c r="E192">
        <v>2.0678864313626822E-3</v>
      </c>
      <c r="F192">
        <v>2.2116306281642847E-2</v>
      </c>
      <c r="G192">
        <v>0.47506063203129639</v>
      </c>
      <c r="H192">
        <v>0.50013688221624819</v>
      </c>
      <c r="I192">
        <v>8.65</v>
      </c>
      <c r="J192">
        <v>28.93</v>
      </c>
      <c r="K192">
        <v>309.41000000000003</v>
      </c>
      <c r="L192">
        <v>6646.16</v>
      </c>
      <c r="M192">
        <v>6996.98</v>
      </c>
      <c r="N192">
        <f t="shared" si="10"/>
        <v>29.944059847907063</v>
      </c>
    </row>
    <row r="193" spans="1:14" x14ac:dyDescent="0.3">
      <c r="A193" t="s">
        <v>50</v>
      </c>
      <c r="B193" t="s">
        <v>18</v>
      </c>
      <c r="C193">
        <v>0</v>
      </c>
      <c r="D193">
        <v>5.9380743673123149E-3</v>
      </c>
      <c r="E193">
        <v>0.21273387058768087</v>
      </c>
      <c r="F193">
        <v>0.2894104340449597</v>
      </c>
      <c r="G193">
        <v>0.16555916866958859</v>
      </c>
      <c r="H193">
        <v>0.32635845233045857</v>
      </c>
      <c r="I193">
        <v>2.52</v>
      </c>
      <c r="J193">
        <v>90.28</v>
      </c>
      <c r="K193">
        <v>122.82</v>
      </c>
      <c r="L193">
        <v>70.260000000000005</v>
      </c>
      <c r="M193">
        <v>138.5</v>
      </c>
      <c r="N193">
        <f t="shared" si="10"/>
        <v>28.187332108016399</v>
      </c>
    </row>
    <row r="194" spans="1:14" x14ac:dyDescent="0.3">
      <c r="A194" t="s">
        <v>50</v>
      </c>
      <c r="B194" t="s">
        <v>18</v>
      </c>
      <c r="C194">
        <v>0</v>
      </c>
      <c r="D194">
        <v>6.0614064047540446E-2</v>
      </c>
      <c r="E194">
        <v>0.29059095411026742</v>
      </c>
      <c r="F194">
        <v>0.45070980521624304</v>
      </c>
      <c r="G194">
        <v>0.15199735886431165</v>
      </c>
      <c r="H194">
        <v>4.6087817761637513E-2</v>
      </c>
      <c r="I194">
        <v>9.18</v>
      </c>
      <c r="J194">
        <v>44.01</v>
      </c>
      <c r="K194">
        <v>68.260000000000005</v>
      </c>
      <c r="L194">
        <v>23.02</v>
      </c>
      <c r="M194">
        <v>6.98</v>
      </c>
      <c r="N194">
        <f t="shared" si="10"/>
        <v>26.664707824364474</v>
      </c>
    </row>
    <row r="195" spans="1:14" x14ac:dyDescent="0.3">
      <c r="A195" t="s">
        <v>165</v>
      </c>
      <c r="B195" t="s">
        <v>18</v>
      </c>
      <c r="C195">
        <v>0</v>
      </c>
      <c r="D195">
        <v>6.3516385498341904E-2</v>
      </c>
      <c r="E195">
        <v>0.36965350395280067</v>
      </c>
      <c r="F195">
        <v>0.37943646741960491</v>
      </c>
      <c r="G195">
        <v>0.12346491064154218</v>
      </c>
      <c r="H195">
        <v>6.3928732487710582E-2</v>
      </c>
      <c r="I195">
        <v>5.0986000000000002</v>
      </c>
      <c r="J195">
        <v>29.672899999999998</v>
      </c>
      <c r="K195">
        <v>30.458200000000001</v>
      </c>
      <c r="L195">
        <v>9.9108000000000001</v>
      </c>
      <c r="M195">
        <v>5.1317000000000004</v>
      </c>
      <c r="N195">
        <f t="shared" si="10"/>
        <v>26.509272201334955</v>
      </c>
    </row>
    <row r="196" spans="1:14" x14ac:dyDescent="0.3">
      <c r="A196" t="s">
        <v>51</v>
      </c>
      <c r="B196" t="s">
        <v>34</v>
      </c>
      <c r="C196">
        <v>0</v>
      </c>
      <c r="D196">
        <v>3.33790580704161E-2</v>
      </c>
      <c r="E196">
        <v>7.44170096021948E-2</v>
      </c>
      <c r="F196">
        <v>0.12494284407864656</v>
      </c>
      <c r="G196">
        <v>0.30315500685871061</v>
      </c>
      <c r="H196">
        <v>0.46410608139003207</v>
      </c>
      <c r="I196">
        <v>2.92</v>
      </c>
      <c r="J196">
        <v>6.51</v>
      </c>
      <c r="K196">
        <v>10.93</v>
      </c>
      <c r="L196">
        <v>26.52</v>
      </c>
      <c r="M196">
        <v>40.6</v>
      </c>
      <c r="N196">
        <f t="shared" si="10"/>
        <v>29.180384087791499</v>
      </c>
    </row>
    <row r="197" spans="1:14" x14ac:dyDescent="0.3">
      <c r="A197" t="s">
        <v>116</v>
      </c>
      <c r="B197" t="s">
        <v>15</v>
      </c>
      <c r="C197">
        <v>0</v>
      </c>
      <c r="D197">
        <v>1.5903688629717666E-2</v>
      </c>
      <c r="E197">
        <v>3.1972684417235268E-2</v>
      </c>
      <c r="F197">
        <v>0.39687968489035574</v>
      </c>
      <c r="G197">
        <v>0.52570526303788956</v>
      </c>
      <c r="H197">
        <v>2.9538679024801773E-2</v>
      </c>
      <c r="I197">
        <v>27.9</v>
      </c>
      <c r="J197">
        <v>56.09</v>
      </c>
      <c r="K197">
        <v>696.25</v>
      </c>
      <c r="L197">
        <v>922.25</v>
      </c>
      <c r="M197">
        <v>51.82</v>
      </c>
      <c r="N197">
        <f t="shared" si="10"/>
        <v>28.042005118821642</v>
      </c>
    </row>
    <row r="198" spans="1:14" x14ac:dyDescent="0.3">
      <c r="A198" t="s">
        <v>183</v>
      </c>
      <c r="B198" t="s">
        <v>31</v>
      </c>
      <c r="C198">
        <v>0</v>
      </c>
      <c r="D198">
        <f t="shared" ref="D198:H201" si="13">I198/SUM($I198:$M198)</f>
        <v>0.38491992264714303</v>
      </c>
      <c r="E198">
        <f t="shared" si="13"/>
        <v>8.1745558554541964E-2</v>
      </c>
      <c r="F198">
        <f t="shared" si="13"/>
        <v>0.33798304122595829</v>
      </c>
      <c r="G198">
        <f t="shared" si="13"/>
        <v>0.14903824981053704</v>
      </c>
      <c r="H198">
        <f t="shared" si="13"/>
        <v>4.6313227761819648E-2</v>
      </c>
      <c r="I198">
        <v>194.80195036965702</v>
      </c>
      <c r="J198">
        <v>41.370148188145407</v>
      </c>
      <c r="K198">
        <v>171.04792905988481</v>
      </c>
      <c r="L198">
        <v>75.425926366994901</v>
      </c>
      <c r="M198">
        <v>23.438399950493121</v>
      </c>
      <c r="N198">
        <f t="shared" ref="N198:N261" si="14">(D198*23+E198*25+F198*27+G198*29+H198*31)/SUM(D198:H198)</f>
        <v>25.780158602970694</v>
      </c>
    </row>
    <row r="199" spans="1:14" x14ac:dyDescent="0.3">
      <c r="A199" t="s">
        <v>145</v>
      </c>
      <c r="B199" t="s">
        <v>149</v>
      </c>
      <c r="C199">
        <v>0</v>
      </c>
      <c r="D199">
        <f t="shared" si="13"/>
        <v>0.18709727696105583</v>
      </c>
      <c r="E199">
        <f t="shared" si="13"/>
        <v>0.24259748497113928</v>
      </c>
      <c r="F199">
        <f t="shared" si="13"/>
        <v>0.20795161857171759</v>
      </c>
      <c r="G199">
        <f t="shared" si="13"/>
        <v>0.17700939155700424</v>
      </c>
      <c r="H199">
        <f t="shared" si="13"/>
        <v>0.18534422793908306</v>
      </c>
      <c r="I199">
        <v>86.754771135266381</v>
      </c>
      <c r="J199">
        <v>112.4895542495962</v>
      </c>
      <c r="K199">
        <v>96.424680088490817</v>
      </c>
      <c r="L199">
        <v>82.077139244079333</v>
      </c>
      <c r="M199">
        <v>85.941903256265633</v>
      </c>
      <c r="N199">
        <f t="shared" si="14"/>
        <v>26.861811617083838</v>
      </c>
    </row>
    <row r="200" spans="1:14" x14ac:dyDescent="0.3">
      <c r="A200" t="s">
        <v>145</v>
      </c>
      <c r="B200" t="s">
        <v>149</v>
      </c>
      <c r="C200">
        <v>0</v>
      </c>
      <c r="D200">
        <f t="shared" si="13"/>
        <v>0.18284182122171438</v>
      </c>
      <c r="E200">
        <f t="shared" si="13"/>
        <v>0.21726241731099791</v>
      </c>
      <c r="F200">
        <f t="shared" si="13"/>
        <v>0.20740994392136769</v>
      </c>
      <c r="G200">
        <f t="shared" si="13"/>
        <v>0.19252491082941661</v>
      </c>
      <c r="H200">
        <f t="shared" si="13"/>
        <v>0.19996090671650338</v>
      </c>
      <c r="I200">
        <v>77.474463305003098</v>
      </c>
      <c r="J200">
        <v>92.059295105720409</v>
      </c>
      <c r="K200">
        <v>87.884565916369212</v>
      </c>
      <c r="L200">
        <v>81.577420524956068</v>
      </c>
      <c r="M200">
        <v>84.728230261157933</v>
      </c>
      <c r="N200">
        <f t="shared" si="14"/>
        <v>27.019001329016</v>
      </c>
    </row>
    <row r="201" spans="1:14" x14ac:dyDescent="0.3">
      <c r="A201" t="s">
        <v>145</v>
      </c>
      <c r="B201" t="s">
        <v>149</v>
      </c>
      <c r="C201">
        <v>0</v>
      </c>
      <c r="D201">
        <f t="shared" si="13"/>
        <v>0.19180906104072618</v>
      </c>
      <c r="E201">
        <f t="shared" si="13"/>
        <v>0.20899529538904738</v>
      </c>
      <c r="F201">
        <f t="shared" si="13"/>
        <v>0.22393423394674009</v>
      </c>
      <c r="G201">
        <f t="shared" si="13"/>
        <v>0.19491840831293053</v>
      </c>
      <c r="H201">
        <f t="shared" si="13"/>
        <v>0.18034300131055583</v>
      </c>
      <c r="I201">
        <v>3.2208594857527886</v>
      </c>
      <c r="J201">
        <v>3.5094508881861048</v>
      </c>
      <c r="K201">
        <v>3.7603056794016583</v>
      </c>
      <c r="L201">
        <v>3.2730716732367395</v>
      </c>
      <c r="M201">
        <v>3.0283213071821429</v>
      </c>
      <c r="N201">
        <f t="shared" si="14"/>
        <v>26.925981986927088</v>
      </c>
    </row>
    <row r="202" spans="1:14" x14ac:dyDescent="0.3">
      <c r="A202" t="s">
        <v>52</v>
      </c>
      <c r="B202" t="s">
        <v>15</v>
      </c>
      <c r="C202">
        <v>0</v>
      </c>
      <c r="D202">
        <v>4.0863981319322826E-3</v>
      </c>
      <c r="E202">
        <v>1.3510132599449587E-2</v>
      </c>
      <c r="F202">
        <v>0.13660245183887915</v>
      </c>
      <c r="G202">
        <v>0.43294971228421314</v>
      </c>
      <c r="H202">
        <v>0.41285130514552582</v>
      </c>
      <c r="I202">
        <v>98</v>
      </c>
      <c r="J202">
        <v>324</v>
      </c>
      <c r="K202">
        <v>3276</v>
      </c>
      <c r="L202">
        <v>10383</v>
      </c>
      <c r="M202">
        <v>9901</v>
      </c>
      <c r="N202">
        <f t="shared" si="14"/>
        <v>29.473938787423901</v>
      </c>
    </row>
    <row r="203" spans="1:14" x14ac:dyDescent="0.3">
      <c r="A203" t="s">
        <v>52</v>
      </c>
      <c r="B203" t="s">
        <v>15</v>
      </c>
      <c r="C203">
        <v>0</v>
      </c>
      <c r="D203">
        <v>3.6932655467138225E-3</v>
      </c>
      <c r="E203">
        <v>1.0743626584143825E-2</v>
      </c>
      <c r="F203">
        <v>9.3271072796934862E-2</v>
      </c>
      <c r="G203">
        <v>0.31304800324196874</v>
      </c>
      <c r="H203">
        <v>0.57924403183023865</v>
      </c>
      <c r="I203">
        <v>8.02</v>
      </c>
      <c r="J203">
        <v>23.33</v>
      </c>
      <c r="K203">
        <v>202.54</v>
      </c>
      <c r="L203">
        <v>679.79</v>
      </c>
      <c r="M203">
        <v>1257.8399999999999</v>
      </c>
      <c r="N203">
        <f t="shared" si="14"/>
        <v>29.90681181844975</v>
      </c>
    </row>
    <row r="204" spans="1:14" x14ac:dyDescent="0.3">
      <c r="A204" t="s">
        <v>52</v>
      </c>
      <c r="B204" t="s">
        <v>15</v>
      </c>
      <c r="C204">
        <v>0</v>
      </c>
      <c r="D204">
        <v>6.7174579578184518E-3</v>
      </c>
      <c r="E204">
        <v>1.9762148099972125E-2</v>
      </c>
      <c r="F204">
        <v>0.12164823933847439</v>
      </c>
      <c r="G204">
        <v>0.36074514540555597</v>
      </c>
      <c r="H204">
        <v>0.49112700919817887</v>
      </c>
      <c r="I204">
        <v>7.23</v>
      </c>
      <c r="J204">
        <v>21.27</v>
      </c>
      <c r="K204">
        <v>130.93</v>
      </c>
      <c r="L204">
        <v>388.27</v>
      </c>
      <c r="M204">
        <v>528.6</v>
      </c>
      <c r="N204">
        <f t="shared" si="14"/>
        <v>29.619604199572613</v>
      </c>
    </row>
    <row r="205" spans="1:14" x14ac:dyDescent="0.3">
      <c r="A205" t="s">
        <v>53</v>
      </c>
      <c r="B205" t="s">
        <v>15</v>
      </c>
      <c r="C205">
        <v>0</v>
      </c>
      <c r="D205">
        <v>3.675489111780633E-3</v>
      </c>
      <c r="E205">
        <v>7.2921831102297132E-3</v>
      </c>
      <c r="F205">
        <v>9.3924399018598323E-2</v>
      </c>
      <c r="G205">
        <v>0.52048294623901958</v>
      </c>
      <c r="H205">
        <v>0.37462498252037169</v>
      </c>
      <c r="I205">
        <v>23.13</v>
      </c>
      <c r="J205">
        <v>45.89</v>
      </c>
      <c r="K205">
        <v>591.07000000000005</v>
      </c>
      <c r="L205">
        <v>3275.42</v>
      </c>
      <c r="M205">
        <v>2357.5300000000002</v>
      </c>
      <c r="N205">
        <f t="shared" si="14"/>
        <v>29.510179499891944</v>
      </c>
    </row>
    <row r="206" spans="1:14" x14ac:dyDescent="0.3">
      <c r="A206" t="s">
        <v>53</v>
      </c>
      <c r="B206" t="s">
        <v>15</v>
      </c>
      <c r="C206">
        <v>0</v>
      </c>
      <c r="D206">
        <v>1.0083570012872642E-2</v>
      </c>
      <c r="E206">
        <v>1.6090803212030814E-2</v>
      </c>
      <c r="F206">
        <v>9.2768163026228867E-2</v>
      </c>
      <c r="G206">
        <v>0.34230331760010352</v>
      </c>
      <c r="H206">
        <v>0.53875414614876416</v>
      </c>
      <c r="I206">
        <v>29.61</v>
      </c>
      <c r="J206">
        <v>47.25</v>
      </c>
      <c r="K206">
        <v>272.41000000000003</v>
      </c>
      <c r="L206">
        <v>1005.16</v>
      </c>
      <c r="M206">
        <v>1582.03</v>
      </c>
      <c r="N206">
        <f t="shared" si="14"/>
        <v>29.767107333319711</v>
      </c>
    </row>
    <row r="207" spans="1:14" x14ac:dyDescent="0.3">
      <c r="A207" t="s">
        <v>53</v>
      </c>
      <c r="B207" t="s">
        <v>15</v>
      </c>
      <c r="C207">
        <v>0</v>
      </c>
      <c r="D207">
        <v>8.5949554551023096E-3</v>
      </c>
      <c r="E207">
        <v>2.5308014980111808E-2</v>
      </c>
      <c r="F207">
        <v>0.36480294019585796</v>
      </c>
      <c r="G207">
        <v>0.30129253863271588</v>
      </c>
      <c r="H207">
        <v>0.30000155073621204</v>
      </c>
      <c r="I207">
        <v>22.17</v>
      </c>
      <c r="J207">
        <v>65.28</v>
      </c>
      <c r="K207">
        <v>940.98</v>
      </c>
      <c r="L207">
        <v>777.16</v>
      </c>
      <c r="M207">
        <v>773.83</v>
      </c>
      <c r="N207">
        <f t="shared" si="14"/>
        <v>28.717595428429643</v>
      </c>
    </row>
    <row r="208" spans="1:14" x14ac:dyDescent="0.3">
      <c r="A208" t="s">
        <v>53</v>
      </c>
      <c r="B208" t="s">
        <v>15</v>
      </c>
      <c r="C208">
        <v>0</v>
      </c>
      <c r="D208">
        <v>7.6904708972490507E-3</v>
      </c>
      <c r="E208">
        <v>1.2293225963161491E-2</v>
      </c>
      <c r="F208">
        <v>7.2376059086530151E-2</v>
      </c>
      <c r="G208">
        <v>0.47499773567505699</v>
      </c>
      <c r="H208">
        <v>0.43264250837800233</v>
      </c>
      <c r="I208">
        <v>9.34</v>
      </c>
      <c r="J208">
        <v>14.93</v>
      </c>
      <c r="K208">
        <v>87.9</v>
      </c>
      <c r="L208">
        <v>576.88</v>
      </c>
      <c r="M208">
        <v>525.44000000000005</v>
      </c>
      <c r="N208">
        <f t="shared" si="14"/>
        <v>29.625217169346804</v>
      </c>
    </row>
    <row r="209" spans="1:14" x14ac:dyDescent="0.3">
      <c r="A209" t="s">
        <v>53</v>
      </c>
      <c r="B209" t="s">
        <v>15</v>
      </c>
      <c r="C209">
        <v>0</v>
      </c>
      <c r="D209">
        <v>2.2365393465255408E-2</v>
      </c>
      <c r="E209">
        <v>4.3614051234851972E-2</v>
      </c>
      <c r="F209">
        <v>0.40011658229789848</v>
      </c>
      <c r="G209">
        <v>0.24823439177788004</v>
      </c>
      <c r="H209">
        <v>0.28566958122411412</v>
      </c>
      <c r="I209">
        <v>36.450000000000003</v>
      </c>
      <c r="J209">
        <v>71.08</v>
      </c>
      <c r="K209">
        <v>652.09</v>
      </c>
      <c r="L209">
        <v>404.56</v>
      </c>
      <c r="M209">
        <v>465.57</v>
      </c>
      <c r="N209">
        <f t="shared" si="14"/>
        <v>28.462457432121489</v>
      </c>
    </row>
    <row r="210" spans="1:14" x14ac:dyDescent="0.3">
      <c r="A210" t="s">
        <v>53</v>
      </c>
      <c r="B210" t="s">
        <v>15</v>
      </c>
      <c r="C210">
        <v>0</v>
      </c>
      <c r="D210">
        <v>9.6448313107567185E-3</v>
      </c>
      <c r="E210">
        <v>1.2618336616049303E-2</v>
      </c>
      <c r="F210">
        <v>9.7020141050892669E-2</v>
      </c>
      <c r="G210">
        <v>0.39190545778003688</v>
      </c>
      <c r="H210">
        <v>0.48881123324226444</v>
      </c>
      <c r="I210">
        <v>7.59</v>
      </c>
      <c r="J210">
        <v>9.93</v>
      </c>
      <c r="K210">
        <v>76.349999999999994</v>
      </c>
      <c r="L210">
        <v>308.41000000000003</v>
      </c>
      <c r="M210">
        <v>384.67</v>
      </c>
      <c r="N210">
        <f t="shared" si="14"/>
        <v>29.675239850054005</v>
      </c>
    </row>
    <row r="211" spans="1:14" x14ac:dyDescent="0.3">
      <c r="A211" t="s">
        <v>53</v>
      </c>
      <c r="B211" t="s">
        <v>15</v>
      </c>
      <c r="C211">
        <v>0</v>
      </c>
      <c r="D211">
        <v>1.3505402160864346E-2</v>
      </c>
      <c r="E211">
        <v>9.4537815126050414E-3</v>
      </c>
      <c r="F211">
        <v>1.1854741896758704E-2</v>
      </c>
      <c r="G211">
        <v>5.2671068427370946E-2</v>
      </c>
      <c r="H211">
        <v>0.91251500600240099</v>
      </c>
      <c r="I211">
        <v>0.9</v>
      </c>
      <c r="J211">
        <v>0.63</v>
      </c>
      <c r="K211">
        <v>0.79</v>
      </c>
      <c r="L211">
        <v>3.51</v>
      </c>
      <c r="M211">
        <v>60.81</v>
      </c>
      <c r="N211">
        <f t="shared" si="14"/>
        <v>30.682472989195681</v>
      </c>
    </row>
    <row r="212" spans="1:14" x14ac:dyDescent="0.3">
      <c r="A212" t="s">
        <v>53</v>
      </c>
      <c r="B212" t="s">
        <v>15</v>
      </c>
      <c r="C212">
        <v>0</v>
      </c>
      <c r="D212">
        <v>6.3600227143668382E-3</v>
      </c>
      <c r="E212">
        <v>1.0675752413401476E-2</v>
      </c>
      <c r="F212">
        <v>4.8949460533787618E-2</v>
      </c>
      <c r="G212">
        <v>0.41510505394662123</v>
      </c>
      <c r="H212">
        <v>0.51890971039182276</v>
      </c>
      <c r="I212">
        <v>0.56000000000000005</v>
      </c>
      <c r="J212">
        <v>0.94</v>
      </c>
      <c r="K212">
        <v>4.3099999999999996</v>
      </c>
      <c r="L212">
        <v>36.549999999999997</v>
      </c>
      <c r="M212">
        <v>45.69</v>
      </c>
      <c r="N212">
        <f t="shared" si="14"/>
        <v>29.859057353776262</v>
      </c>
    </row>
    <row r="213" spans="1:14" x14ac:dyDescent="0.3">
      <c r="A213" t="s">
        <v>53</v>
      </c>
      <c r="B213" t="s">
        <v>15</v>
      </c>
      <c r="C213">
        <v>0</v>
      </c>
      <c r="D213">
        <v>0</v>
      </c>
      <c r="E213">
        <v>0</v>
      </c>
      <c r="F213">
        <v>0.3</v>
      </c>
      <c r="G213">
        <v>0.5</v>
      </c>
      <c r="H213">
        <v>0.2</v>
      </c>
      <c r="I213">
        <v>0</v>
      </c>
      <c r="J213">
        <v>0</v>
      </c>
      <c r="K213">
        <v>30</v>
      </c>
      <c r="L213">
        <v>50</v>
      </c>
      <c r="M213">
        <v>20</v>
      </c>
      <c r="N213">
        <f t="shared" si="14"/>
        <v>28.8</v>
      </c>
    </row>
    <row r="214" spans="1:14" x14ac:dyDescent="0.3">
      <c r="A214" t="s">
        <v>54</v>
      </c>
      <c r="B214" t="s">
        <v>47</v>
      </c>
      <c r="C214">
        <v>0</v>
      </c>
      <c r="D214">
        <v>0.19774011299435029</v>
      </c>
      <c r="E214">
        <v>0.1327683615819209</v>
      </c>
      <c r="F214">
        <v>0.47457627118644069</v>
      </c>
      <c r="G214">
        <v>0.18926553672316385</v>
      </c>
      <c r="H214">
        <v>5.6497175141242938E-3</v>
      </c>
      <c r="I214">
        <v>70</v>
      </c>
      <c r="J214">
        <v>47</v>
      </c>
      <c r="K214">
        <v>168</v>
      </c>
      <c r="L214">
        <v>67</v>
      </c>
      <c r="M214">
        <v>2</v>
      </c>
      <c r="N214">
        <f t="shared" si="14"/>
        <v>26.344632768361585</v>
      </c>
    </row>
    <row r="215" spans="1:14" x14ac:dyDescent="0.3">
      <c r="A215" t="s">
        <v>54</v>
      </c>
      <c r="B215" t="s">
        <v>47</v>
      </c>
      <c r="C215">
        <v>0</v>
      </c>
      <c r="D215">
        <v>0.3540355677154583</v>
      </c>
      <c r="E215">
        <v>0.16443228454172368</v>
      </c>
      <c r="F215">
        <v>0.34719562243502056</v>
      </c>
      <c r="G215">
        <v>0.11737346101231191</v>
      </c>
      <c r="H215">
        <v>1.6963064295485636E-2</v>
      </c>
      <c r="I215">
        <v>12.94</v>
      </c>
      <c r="J215">
        <v>6.01</v>
      </c>
      <c r="K215">
        <v>12.69</v>
      </c>
      <c r="L215">
        <v>4.29</v>
      </c>
      <c r="M215">
        <v>0.62</v>
      </c>
      <c r="N215">
        <f t="shared" si="14"/>
        <v>25.557592339261287</v>
      </c>
    </row>
    <row r="216" spans="1:14" x14ac:dyDescent="0.3">
      <c r="A216" t="s">
        <v>54</v>
      </c>
      <c r="B216" t="s">
        <v>47</v>
      </c>
      <c r="C216">
        <v>0</v>
      </c>
      <c r="D216">
        <v>0.14716720405343162</v>
      </c>
      <c r="E216">
        <v>0.12943344081068633</v>
      </c>
      <c r="F216">
        <v>0.3070013818516813</v>
      </c>
      <c r="G216">
        <v>0.40396130815292497</v>
      </c>
      <c r="H216">
        <v>1.2436665131275912E-2</v>
      </c>
      <c r="I216">
        <v>6.39</v>
      </c>
      <c r="J216">
        <v>5.62</v>
      </c>
      <c r="K216">
        <v>13.33</v>
      </c>
      <c r="L216">
        <v>17.54</v>
      </c>
      <c r="M216">
        <v>0.54</v>
      </c>
      <c r="N216">
        <f t="shared" si="14"/>
        <v>27.010133578995852</v>
      </c>
    </row>
    <row r="217" spans="1:14" x14ac:dyDescent="0.3">
      <c r="A217" t="s">
        <v>54</v>
      </c>
      <c r="B217" t="s">
        <v>47</v>
      </c>
      <c r="C217">
        <v>0</v>
      </c>
      <c r="D217">
        <v>0.39706959706959705</v>
      </c>
      <c r="E217">
        <v>0.17802197802197803</v>
      </c>
      <c r="F217">
        <v>0.30036630036630035</v>
      </c>
      <c r="G217">
        <v>9.5970695970695977E-2</v>
      </c>
      <c r="H217">
        <v>2.8571428571428571E-2</v>
      </c>
      <c r="I217">
        <v>5.42</v>
      </c>
      <c r="J217">
        <v>2.4300000000000002</v>
      </c>
      <c r="K217">
        <v>4.0999999999999996</v>
      </c>
      <c r="L217">
        <v>1.31</v>
      </c>
      <c r="M217">
        <v>0.39</v>
      </c>
      <c r="N217">
        <f t="shared" si="14"/>
        <v>25.361904761904761</v>
      </c>
    </row>
    <row r="218" spans="1:14" x14ac:dyDescent="0.3">
      <c r="A218" t="s">
        <v>54</v>
      </c>
      <c r="B218" t="s">
        <v>47</v>
      </c>
      <c r="C218">
        <v>0</v>
      </c>
      <c r="D218">
        <v>0.31588447653429602</v>
      </c>
      <c r="E218">
        <v>0.17978339350180508</v>
      </c>
      <c r="F218">
        <v>0.39386281588447652</v>
      </c>
      <c r="G218">
        <v>9.7472924187725643E-2</v>
      </c>
      <c r="H218">
        <v>1.299638989169675E-2</v>
      </c>
      <c r="I218">
        <v>8.75</v>
      </c>
      <c r="J218">
        <v>4.9800000000000004</v>
      </c>
      <c r="K218">
        <v>10.91</v>
      </c>
      <c r="L218">
        <v>2.7</v>
      </c>
      <c r="M218">
        <v>0.36</v>
      </c>
      <c r="N218">
        <f t="shared" si="14"/>
        <v>25.623826714801442</v>
      </c>
    </row>
    <row r="219" spans="1:14" x14ac:dyDescent="0.3">
      <c r="A219" t="s">
        <v>54</v>
      </c>
      <c r="B219" t="s">
        <v>47</v>
      </c>
      <c r="C219">
        <v>0</v>
      </c>
      <c r="D219">
        <v>0.32554434413170469</v>
      </c>
      <c r="E219">
        <v>0.17047265002655335</v>
      </c>
      <c r="F219">
        <v>0.34784917684545935</v>
      </c>
      <c r="G219">
        <v>0.1476367498672331</v>
      </c>
      <c r="H219">
        <v>8.4970791290493886E-3</v>
      </c>
      <c r="I219">
        <v>6.13</v>
      </c>
      <c r="J219">
        <v>3.21</v>
      </c>
      <c r="K219">
        <v>6.55</v>
      </c>
      <c r="L219">
        <v>2.78</v>
      </c>
      <c r="M219">
        <v>0.16</v>
      </c>
      <c r="N219">
        <f t="shared" si="14"/>
        <v>25.68613913967074</v>
      </c>
    </row>
    <row r="220" spans="1:14" x14ac:dyDescent="0.3">
      <c r="A220" t="s">
        <v>54</v>
      </c>
      <c r="B220" t="s">
        <v>47</v>
      </c>
      <c r="C220">
        <v>0</v>
      </c>
      <c r="D220">
        <v>0.35370152761457108</v>
      </c>
      <c r="E220">
        <v>0.19545632589110853</v>
      </c>
      <c r="F220">
        <v>0.36036036036036034</v>
      </c>
      <c r="G220">
        <v>8.617312965139054E-2</v>
      </c>
      <c r="H220">
        <v>4.3086564825695261E-3</v>
      </c>
      <c r="I220">
        <v>9.0299999999999994</v>
      </c>
      <c r="J220">
        <v>4.99</v>
      </c>
      <c r="K220">
        <v>9.1999999999999993</v>
      </c>
      <c r="L220">
        <v>2.2000000000000002</v>
      </c>
      <c r="M220">
        <v>0.11</v>
      </c>
      <c r="N220">
        <f t="shared" si="14"/>
        <v>25.383862122992557</v>
      </c>
    </row>
    <row r="221" spans="1:14" x14ac:dyDescent="0.3">
      <c r="A221" t="s">
        <v>54</v>
      </c>
      <c r="B221" t="s">
        <v>47</v>
      </c>
      <c r="C221">
        <v>0</v>
      </c>
      <c r="D221">
        <v>0.49039487726787612</v>
      </c>
      <c r="E221">
        <v>0.21771611526147278</v>
      </c>
      <c r="F221">
        <v>0.2150480256136606</v>
      </c>
      <c r="G221">
        <v>7.6840981856990384E-2</v>
      </c>
      <c r="H221">
        <v>0</v>
      </c>
      <c r="I221">
        <v>9.19</v>
      </c>
      <c r="J221">
        <v>4.08</v>
      </c>
      <c r="K221">
        <v>4.03</v>
      </c>
      <c r="L221">
        <v>1.44</v>
      </c>
      <c r="M221">
        <v>0</v>
      </c>
      <c r="N221">
        <f t="shared" si="14"/>
        <v>24.756670224119528</v>
      </c>
    </row>
    <row r="222" spans="1:14" x14ac:dyDescent="0.3">
      <c r="A222" t="s">
        <v>54</v>
      </c>
      <c r="B222" t="s">
        <v>47</v>
      </c>
      <c r="C222">
        <v>0</v>
      </c>
      <c r="D222">
        <v>0.4595561918396564</v>
      </c>
      <c r="E222">
        <v>0.19899785254115959</v>
      </c>
      <c r="F222">
        <v>0.24838940586972083</v>
      </c>
      <c r="G222">
        <v>9.3056549749463133E-2</v>
      </c>
      <c r="H222">
        <v>0</v>
      </c>
      <c r="I222">
        <v>6.42</v>
      </c>
      <c r="J222">
        <v>2.78</v>
      </c>
      <c r="K222">
        <v>3.47</v>
      </c>
      <c r="L222">
        <v>1.3</v>
      </c>
      <c r="M222">
        <v>0</v>
      </c>
      <c r="N222">
        <f t="shared" si="14"/>
        <v>24.949892627057981</v>
      </c>
    </row>
    <row r="223" spans="1:14" x14ac:dyDescent="0.3">
      <c r="A223" t="s">
        <v>54</v>
      </c>
      <c r="B223" t="s">
        <v>47</v>
      </c>
      <c r="C223">
        <v>0</v>
      </c>
      <c r="D223">
        <v>0.39950576606260296</v>
      </c>
      <c r="E223">
        <v>0.26935749588138386</v>
      </c>
      <c r="F223">
        <v>0.24217462932454697</v>
      </c>
      <c r="G223">
        <v>8.8962108731466247E-2</v>
      </c>
      <c r="H223">
        <v>0</v>
      </c>
      <c r="I223">
        <v>4.8499999999999996</v>
      </c>
      <c r="J223">
        <v>3.27</v>
      </c>
      <c r="K223">
        <v>2.94</v>
      </c>
      <c r="L223">
        <v>1.08</v>
      </c>
      <c r="M223">
        <v>0</v>
      </c>
      <c r="N223">
        <f t="shared" si="14"/>
        <v>25.041186161449755</v>
      </c>
    </row>
    <row r="224" spans="1:14" x14ac:dyDescent="0.3">
      <c r="A224" t="s">
        <v>54</v>
      </c>
      <c r="B224" t="s">
        <v>47</v>
      </c>
      <c r="C224">
        <v>0</v>
      </c>
      <c r="D224">
        <v>0.40703517587939703</v>
      </c>
      <c r="E224">
        <v>0.21231155778894473</v>
      </c>
      <c r="F224">
        <v>0.31281407035175884</v>
      </c>
      <c r="G224">
        <v>6.78391959798995E-2</v>
      </c>
      <c r="H224">
        <v>0</v>
      </c>
      <c r="I224">
        <v>3.24</v>
      </c>
      <c r="J224">
        <v>1.69</v>
      </c>
      <c r="K224">
        <v>2.4900000000000002</v>
      </c>
      <c r="L224">
        <v>0.54</v>
      </c>
      <c r="M224">
        <v>0</v>
      </c>
      <c r="N224">
        <f t="shared" si="14"/>
        <v>25.082914572864322</v>
      </c>
    </row>
    <row r="225" spans="1:14" x14ac:dyDescent="0.3">
      <c r="A225" t="s">
        <v>117</v>
      </c>
      <c r="B225" t="s">
        <v>31</v>
      </c>
      <c r="C225">
        <v>0</v>
      </c>
      <c r="D225">
        <v>0.16940833620921047</v>
      </c>
      <c r="E225">
        <v>0.26764829939798301</v>
      </c>
      <c r="F225">
        <v>0.41447141378120322</v>
      </c>
      <c r="G225">
        <v>0.14233674604087579</v>
      </c>
      <c r="H225">
        <v>6.1352045707274054E-3</v>
      </c>
      <c r="I225">
        <v>44.18</v>
      </c>
      <c r="J225">
        <v>69.8</v>
      </c>
      <c r="K225">
        <v>108.09</v>
      </c>
      <c r="L225">
        <v>37.119999999999997</v>
      </c>
      <c r="M225">
        <v>1.6</v>
      </c>
      <c r="N225">
        <f t="shared" si="14"/>
        <v>26.096284366731854</v>
      </c>
    </row>
    <row r="226" spans="1:14" x14ac:dyDescent="0.3">
      <c r="A226" t="s">
        <v>55</v>
      </c>
      <c r="B226" t="s">
        <v>31</v>
      </c>
      <c r="C226">
        <v>0</v>
      </c>
      <c r="D226">
        <v>5.0795560172781445E-2</v>
      </c>
      <c r="E226">
        <v>7.2010498113620203E-2</v>
      </c>
      <c r="F226">
        <v>0.20525999234512546</v>
      </c>
      <c r="G226">
        <v>0.47514899666466182</v>
      </c>
      <c r="H226">
        <v>0.19678495270381102</v>
      </c>
      <c r="I226">
        <v>9.2899999999999991</v>
      </c>
      <c r="J226">
        <v>13.17</v>
      </c>
      <c r="K226">
        <v>37.54</v>
      </c>
      <c r="L226">
        <v>86.9</v>
      </c>
      <c r="M226">
        <v>35.99</v>
      </c>
      <c r="N226">
        <f t="shared" si="14"/>
        <v>28.390234567226198</v>
      </c>
    </row>
    <row r="227" spans="1:14" x14ac:dyDescent="0.3">
      <c r="A227" t="s">
        <v>55</v>
      </c>
      <c r="B227" t="s">
        <v>31</v>
      </c>
      <c r="C227">
        <v>0</v>
      </c>
      <c r="D227">
        <v>6.1366441045585439E-2</v>
      </c>
      <c r="E227">
        <v>7.5539433828203884E-2</v>
      </c>
      <c r="F227">
        <v>0.24314722710444636</v>
      </c>
      <c r="G227">
        <v>0.56519950637597693</v>
      </c>
      <c r="H227">
        <v>5.4747391645787374E-2</v>
      </c>
      <c r="I227">
        <v>16.41</v>
      </c>
      <c r="J227">
        <v>20.2</v>
      </c>
      <c r="K227">
        <v>65.02</v>
      </c>
      <c r="L227">
        <v>151.13999999999999</v>
      </c>
      <c r="M227">
        <v>14.64</v>
      </c>
      <c r="N227">
        <f t="shared" si="14"/>
        <v>27.952843947496355</v>
      </c>
    </row>
    <row r="228" spans="1:14" x14ac:dyDescent="0.3">
      <c r="A228" t="s">
        <v>55</v>
      </c>
      <c r="B228" t="s">
        <v>31</v>
      </c>
      <c r="C228">
        <v>0</v>
      </c>
      <c r="D228">
        <v>5.0329831419496693E-2</v>
      </c>
      <c r="E228">
        <v>7.207427314927925E-2</v>
      </c>
      <c r="F228">
        <v>0.23418030784265817</v>
      </c>
      <c r="G228">
        <v>0.47019301246029804</v>
      </c>
      <c r="H228">
        <v>0.17322257512826775</v>
      </c>
      <c r="I228">
        <v>4.12</v>
      </c>
      <c r="J228">
        <v>5.9</v>
      </c>
      <c r="K228">
        <v>19.170000000000002</v>
      </c>
      <c r="L228">
        <v>38.49</v>
      </c>
      <c r="M228">
        <v>14.18</v>
      </c>
      <c r="N228">
        <f t="shared" si="14"/>
        <v>28.287808453457124</v>
      </c>
    </row>
    <row r="229" spans="1:14" x14ac:dyDescent="0.3">
      <c r="A229" t="s">
        <v>55</v>
      </c>
      <c r="B229" t="s">
        <v>31</v>
      </c>
      <c r="C229">
        <v>0</v>
      </c>
      <c r="D229">
        <v>5.7793345008756561E-2</v>
      </c>
      <c r="E229">
        <v>0.11617046117921773</v>
      </c>
      <c r="F229">
        <v>0.15645067133683593</v>
      </c>
      <c r="G229">
        <v>0.44600116754232333</v>
      </c>
      <c r="H229">
        <v>0.2235843549328663</v>
      </c>
      <c r="I229">
        <v>0.99</v>
      </c>
      <c r="J229">
        <v>1.99</v>
      </c>
      <c r="K229">
        <v>2.68</v>
      </c>
      <c r="L229">
        <v>7.64</v>
      </c>
      <c r="M229">
        <v>3.83</v>
      </c>
      <c r="N229">
        <f t="shared" si="14"/>
        <v>28.322825452422649</v>
      </c>
    </row>
    <row r="230" spans="1:14" x14ac:dyDescent="0.3">
      <c r="A230" t="s">
        <v>56</v>
      </c>
      <c r="B230" t="s">
        <v>31</v>
      </c>
      <c r="C230">
        <v>0</v>
      </c>
      <c r="D230">
        <v>9.897275569450649E-2</v>
      </c>
      <c r="E230">
        <v>0.37329164805716841</v>
      </c>
      <c r="F230">
        <v>0.39910674408217961</v>
      </c>
      <c r="G230">
        <v>0.12103617686467175</v>
      </c>
      <c r="H230">
        <v>7.5926753014738729E-3</v>
      </c>
      <c r="I230">
        <v>11.08</v>
      </c>
      <c r="J230">
        <v>41.79</v>
      </c>
      <c r="K230">
        <v>44.68</v>
      </c>
      <c r="L230">
        <v>13.55</v>
      </c>
      <c r="M230">
        <v>0.85</v>
      </c>
      <c r="N230">
        <f t="shared" si="14"/>
        <v>26.12996873604288</v>
      </c>
    </row>
    <row r="231" spans="1:14" x14ac:dyDescent="0.3">
      <c r="A231" t="s">
        <v>57</v>
      </c>
      <c r="B231" t="s">
        <v>31</v>
      </c>
      <c r="C231">
        <v>0</v>
      </c>
      <c r="D231">
        <v>7.1590391070713204E-3</v>
      </c>
      <c r="E231">
        <v>3.1423105082123461E-2</v>
      </c>
      <c r="F231">
        <v>4.3427359754665627E-2</v>
      </c>
      <c r="G231">
        <v>0.22576701523670067</v>
      </c>
      <c r="H231">
        <v>0.69222348081943885</v>
      </c>
      <c r="I231">
        <v>20.73</v>
      </c>
      <c r="J231">
        <v>90.99</v>
      </c>
      <c r="K231">
        <v>125.75</v>
      </c>
      <c r="L231">
        <v>653.74</v>
      </c>
      <c r="M231">
        <v>2004.43</v>
      </c>
      <c r="N231">
        <f t="shared" si="14"/>
        <v>30.128945587158622</v>
      </c>
    </row>
    <row r="232" spans="1:14" x14ac:dyDescent="0.3">
      <c r="A232" t="s">
        <v>57</v>
      </c>
      <c r="B232" t="s">
        <v>31</v>
      </c>
      <c r="C232">
        <v>0</v>
      </c>
      <c r="D232">
        <v>0</v>
      </c>
      <c r="E232">
        <v>1.2369826964220922E-2</v>
      </c>
      <c r="F232">
        <v>5.2961710255779323E-2</v>
      </c>
      <c r="G232">
        <v>0.21898680857630218</v>
      </c>
      <c r="H232">
        <v>0.71568165420369756</v>
      </c>
      <c r="I232">
        <v>0</v>
      </c>
      <c r="J232">
        <v>29.66</v>
      </c>
      <c r="K232">
        <v>126.99</v>
      </c>
      <c r="L232">
        <v>525.08000000000004</v>
      </c>
      <c r="M232">
        <v>1716.04</v>
      </c>
      <c r="N232">
        <f t="shared" si="14"/>
        <v>30.275960580038952</v>
      </c>
    </row>
    <row r="233" spans="1:14" x14ac:dyDescent="0.3">
      <c r="A233" t="s">
        <v>57</v>
      </c>
      <c r="B233" t="s">
        <v>31</v>
      </c>
      <c r="C233">
        <v>0</v>
      </c>
      <c r="D233">
        <v>0</v>
      </c>
      <c r="E233">
        <v>6.2006506799239655E-3</v>
      </c>
      <c r="F233">
        <v>3.9410915338499782E-2</v>
      </c>
      <c r="G233">
        <v>0.26038620412340985</v>
      </c>
      <c r="H233">
        <v>0.6940022298581664</v>
      </c>
      <c r="I233">
        <v>0</v>
      </c>
      <c r="J233">
        <v>13.57</v>
      </c>
      <c r="K233">
        <v>86.25</v>
      </c>
      <c r="L233">
        <v>569.85</v>
      </c>
      <c r="M233">
        <v>1518.81</v>
      </c>
      <c r="N233">
        <f t="shared" si="14"/>
        <v>30.284380026319639</v>
      </c>
    </row>
    <row r="234" spans="1:14" x14ac:dyDescent="0.3">
      <c r="A234" t="s">
        <v>57</v>
      </c>
      <c r="B234" t="s">
        <v>31</v>
      </c>
      <c r="C234">
        <v>0</v>
      </c>
      <c r="D234">
        <v>0</v>
      </c>
      <c r="E234">
        <v>9.8763652092419725E-3</v>
      </c>
      <c r="F234">
        <v>3.2584796164798327E-2</v>
      </c>
      <c r="G234">
        <v>0.23288156772278892</v>
      </c>
      <c r="H234">
        <v>0.72465727090317078</v>
      </c>
      <c r="I234">
        <v>0</v>
      </c>
      <c r="J234">
        <v>16.440000000000001</v>
      </c>
      <c r="K234">
        <v>54.24</v>
      </c>
      <c r="L234">
        <v>387.65</v>
      </c>
      <c r="M234">
        <v>1206.25</v>
      </c>
      <c r="N234">
        <f t="shared" si="14"/>
        <v>30.344639488639775</v>
      </c>
    </row>
    <row r="235" spans="1:14" x14ac:dyDescent="0.3">
      <c r="A235" t="s">
        <v>57</v>
      </c>
      <c r="B235" t="s">
        <v>31</v>
      </c>
      <c r="C235">
        <v>0</v>
      </c>
      <c r="D235">
        <v>0</v>
      </c>
      <c r="E235">
        <v>1.414692633513368E-2</v>
      </c>
      <c r="F235">
        <v>6.0621680374711454E-2</v>
      </c>
      <c r="G235">
        <v>0.25309831693597185</v>
      </c>
      <c r="H235">
        <v>0.67213307635418296</v>
      </c>
      <c r="I235">
        <v>0</v>
      </c>
      <c r="J235">
        <v>25.25</v>
      </c>
      <c r="K235">
        <v>108.2</v>
      </c>
      <c r="L235">
        <v>451.74</v>
      </c>
      <c r="M235">
        <v>1199.6500000000001</v>
      </c>
      <c r="N235">
        <f t="shared" si="14"/>
        <v>30.166435086618407</v>
      </c>
    </row>
    <row r="236" spans="1:14" x14ac:dyDescent="0.3">
      <c r="A236" t="s">
        <v>57</v>
      </c>
      <c r="B236" t="s">
        <v>31</v>
      </c>
      <c r="C236">
        <v>0</v>
      </c>
      <c r="D236">
        <v>0</v>
      </c>
      <c r="E236">
        <v>1.1986240646831448E-2</v>
      </c>
      <c r="F236">
        <v>5.2491223093017493E-2</v>
      </c>
      <c r="G236">
        <v>0.22118514840951811</v>
      </c>
      <c r="H236">
        <v>0.71433738785063305</v>
      </c>
      <c r="I236">
        <v>0</v>
      </c>
      <c r="J236">
        <v>16.899999999999999</v>
      </c>
      <c r="K236">
        <v>74.010000000000005</v>
      </c>
      <c r="L236">
        <v>311.86</v>
      </c>
      <c r="M236">
        <v>1007.18</v>
      </c>
      <c r="N236">
        <f t="shared" si="14"/>
        <v>30.275747366927909</v>
      </c>
    </row>
    <row r="237" spans="1:14" x14ac:dyDescent="0.3">
      <c r="A237" t="s">
        <v>57</v>
      </c>
      <c r="B237" t="s">
        <v>31</v>
      </c>
      <c r="C237">
        <v>0</v>
      </c>
      <c r="D237">
        <v>0</v>
      </c>
      <c r="E237">
        <v>8.9128270335760464E-3</v>
      </c>
      <c r="F237">
        <v>3.220853376198074E-2</v>
      </c>
      <c r="G237">
        <v>0.23803126087112988</v>
      </c>
      <c r="H237">
        <v>0.72084737833331325</v>
      </c>
      <c r="I237">
        <v>0</v>
      </c>
      <c r="J237">
        <v>7.43</v>
      </c>
      <c r="K237">
        <v>26.85</v>
      </c>
      <c r="L237">
        <v>198.43</v>
      </c>
      <c r="M237">
        <v>600.91999999999996</v>
      </c>
      <c r="N237">
        <f t="shared" si="14"/>
        <v>30.341626381008361</v>
      </c>
    </row>
    <row r="238" spans="1:14" x14ac:dyDescent="0.3">
      <c r="A238" t="s">
        <v>57</v>
      </c>
      <c r="B238" t="s">
        <v>31</v>
      </c>
      <c r="C238">
        <v>0</v>
      </c>
      <c r="D238">
        <v>0</v>
      </c>
      <c r="E238">
        <v>2.1907359638621133E-2</v>
      </c>
      <c r="F238">
        <v>3.9272799081742221E-2</v>
      </c>
      <c r="G238">
        <v>0.2331683596015946</v>
      </c>
      <c r="H238">
        <v>0.70565148167804204</v>
      </c>
      <c r="I238">
        <v>0</v>
      </c>
      <c r="J238">
        <v>17.75</v>
      </c>
      <c r="K238">
        <v>31.82</v>
      </c>
      <c r="L238">
        <v>188.92</v>
      </c>
      <c r="M238">
        <v>571.74</v>
      </c>
      <c r="N238">
        <f t="shared" si="14"/>
        <v>30.245127926638112</v>
      </c>
    </row>
    <row r="239" spans="1:14" x14ac:dyDescent="0.3">
      <c r="A239" t="s">
        <v>57</v>
      </c>
      <c r="B239" t="s">
        <v>31</v>
      </c>
      <c r="C239">
        <v>0</v>
      </c>
      <c r="D239">
        <v>3.7061374687869628E-3</v>
      </c>
      <c r="E239">
        <v>1.4863976869496649E-2</v>
      </c>
      <c r="F239">
        <v>4.1437771060586152E-2</v>
      </c>
      <c r="G239">
        <v>0.22897884084636613</v>
      </c>
      <c r="H239">
        <v>0.71101327375476409</v>
      </c>
      <c r="I239">
        <v>2.82</v>
      </c>
      <c r="J239">
        <v>11.31</v>
      </c>
      <c r="K239">
        <v>31.53</v>
      </c>
      <c r="L239">
        <v>174.23</v>
      </c>
      <c r="M239">
        <v>541.01</v>
      </c>
      <c r="N239">
        <f t="shared" si="14"/>
        <v>30.257458273097647</v>
      </c>
    </row>
    <row r="240" spans="1:14" x14ac:dyDescent="0.3">
      <c r="A240" t="s">
        <v>57</v>
      </c>
      <c r="B240" t="s">
        <v>31</v>
      </c>
      <c r="C240">
        <v>0</v>
      </c>
      <c r="D240">
        <v>2.5267673737979675E-3</v>
      </c>
      <c r="E240">
        <v>2.190470996709749E-2</v>
      </c>
      <c r="F240">
        <v>3.9755685226591043E-2</v>
      </c>
      <c r="G240">
        <v>0.23289887477050045</v>
      </c>
      <c r="H240">
        <v>0.702913962662013</v>
      </c>
      <c r="I240">
        <v>1.39</v>
      </c>
      <c r="J240">
        <v>12.05</v>
      </c>
      <c r="K240">
        <v>21.87</v>
      </c>
      <c r="L240">
        <v>128.12</v>
      </c>
      <c r="M240">
        <v>386.68</v>
      </c>
      <c r="N240">
        <f t="shared" si="14"/>
        <v>30.223537110759665</v>
      </c>
    </row>
    <row r="241" spans="1:14" x14ac:dyDescent="0.3">
      <c r="A241" t="s">
        <v>57</v>
      </c>
      <c r="B241" t="s">
        <v>31</v>
      </c>
      <c r="C241">
        <v>0</v>
      </c>
      <c r="D241">
        <v>7.5068030402552326E-3</v>
      </c>
      <c r="E241">
        <v>2.4631697475837478E-2</v>
      </c>
      <c r="F241">
        <v>0.13627193394013326</v>
      </c>
      <c r="G241">
        <v>0.19552876043914796</v>
      </c>
      <c r="H241">
        <v>0.63606080510462604</v>
      </c>
      <c r="I241">
        <v>3.2</v>
      </c>
      <c r="J241">
        <v>10.5</v>
      </c>
      <c r="K241">
        <v>58.09</v>
      </c>
      <c r="L241">
        <v>83.35</v>
      </c>
      <c r="M241">
        <v>271.14</v>
      </c>
      <c r="N241">
        <f t="shared" si="14"/>
        <v>29.856010134184103</v>
      </c>
    </row>
    <row r="242" spans="1:14" x14ac:dyDescent="0.3">
      <c r="A242" t="s">
        <v>57</v>
      </c>
      <c r="B242" t="s">
        <v>31</v>
      </c>
      <c r="C242">
        <v>0</v>
      </c>
      <c r="D242">
        <v>0</v>
      </c>
      <c r="E242">
        <v>4.009202233458746E-2</v>
      </c>
      <c r="F242">
        <v>8.0088188070646327E-2</v>
      </c>
      <c r="G242">
        <v>0.54964173596299948</v>
      </c>
      <c r="H242">
        <v>0.33017805363176689</v>
      </c>
      <c r="I242">
        <v>0</v>
      </c>
      <c r="J242">
        <v>16.73</v>
      </c>
      <c r="K242">
        <v>33.42</v>
      </c>
      <c r="L242">
        <v>229.36</v>
      </c>
      <c r="M242">
        <v>137.78</v>
      </c>
      <c r="N242">
        <f t="shared" si="14"/>
        <v>29.339811641783896</v>
      </c>
    </row>
    <row r="243" spans="1:14" x14ac:dyDescent="0.3">
      <c r="A243" t="s">
        <v>57</v>
      </c>
      <c r="B243" t="s">
        <v>31</v>
      </c>
      <c r="C243">
        <v>0</v>
      </c>
      <c r="D243">
        <v>2.85818878125704E-2</v>
      </c>
      <c r="E243">
        <v>0.15448299166478938</v>
      </c>
      <c r="F243">
        <v>0.26295336787564766</v>
      </c>
      <c r="G243">
        <v>0.21333633701284074</v>
      </c>
      <c r="H243">
        <v>0.34064541563415185</v>
      </c>
      <c r="I243">
        <v>10.15</v>
      </c>
      <c r="J243">
        <v>54.86</v>
      </c>
      <c r="K243">
        <v>93.38</v>
      </c>
      <c r="L243">
        <v>75.760000000000005</v>
      </c>
      <c r="M243">
        <v>120.97</v>
      </c>
      <c r="N243">
        <f t="shared" si="14"/>
        <v>28.365960801982432</v>
      </c>
    </row>
    <row r="244" spans="1:14" x14ac:dyDescent="0.3">
      <c r="A244" t="s">
        <v>57</v>
      </c>
      <c r="B244" t="s">
        <v>31</v>
      </c>
      <c r="C244">
        <v>0</v>
      </c>
      <c r="D244">
        <v>6.8857758620689657E-2</v>
      </c>
      <c r="E244">
        <v>8.4375000000000006E-2</v>
      </c>
      <c r="F244">
        <v>0.23566810344827588</v>
      </c>
      <c r="G244">
        <v>0.31185344827586209</v>
      </c>
      <c r="H244">
        <v>0.2992456896551724</v>
      </c>
      <c r="I244">
        <v>6.39</v>
      </c>
      <c r="J244">
        <v>7.83</v>
      </c>
      <c r="K244">
        <v>21.87</v>
      </c>
      <c r="L244">
        <v>28.94</v>
      </c>
      <c r="M244">
        <v>27.77</v>
      </c>
      <c r="N244">
        <f t="shared" si="14"/>
        <v>28.376508620689656</v>
      </c>
    </row>
    <row r="245" spans="1:14" x14ac:dyDescent="0.3">
      <c r="A245" t="s">
        <v>57</v>
      </c>
      <c r="B245" t="s">
        <v>31</v>
      </c>
      <c r="C245">
        <v>0</v>
      </c>
      <c r="D245">
        <v>0.12393162393162394</v>
      </c>
      <c r="E245">
        <v>0.15384615384615385</v>
      </c>
      <c r="F245">
        <v>0.23504273504273507</v>
      </c>
      <c r="G245">
        <v>0.20726495726495728</v>
      </c>
      <c r="H245">
        <v>0.27991452991452992</v>
      </c>
      <c r="I245">
        <v>0.57999999999999996</v>
      </c>
      <c r="J245">
        <v>0.72</v>
      </c>
      <c r="K245">
        <v>1.1000000000000001</v>
      </c>
      <c r="L245">
        <v>0.97</v>
      </c>
      <c r="M245">
        <v>1.31</v>
      </c>
      <c r="N245">
        <f t="shared" si="14"/>
        <v>27.730769230769234</v>
      </c>
    </row>
    <row r="246" spans="1:14" x14ac:dyDescent="0.3">
      <c r="A246" t="s">
        <v>58</v>
      </c>
      <c r="B246" t="s">
        <v>34</v>
      </c>
      <c r="C246">
        <v>0</v>
      </c>
      <c r="D246">
        <v>2.4039930732402973E-2</v>
      </c>
      <c r="E246">
        <v>6.1729652643373732E-2</v>
      </c>
      <c r="F246">
        <v>0.13089538555566874</v>
      </c>
      <c r="G246">
        <v>0.73627381073647757</v>
      </c>
      <c r="H246">
        <v>4.7061220332077013E-2</v>
      </c>
      <c r="I246">
        <v>2.36</v>
      </c>
      <c r="J246">
        <v>6.06</v>
      </c>
      <c r="K246">
        <v>12.85</v>
      </c>
      <c r="L246">
        <v>72.28</v>
      </c>
      <c r="M246">
        <v>4.62</v>
      </c>
      <c r="N246">
        <f t="shared" si="14"/>
        <v>28.441173474584904</v>
      </c>
    </row>
    <row r="247" spans="1:14" x14ac:dyDescent="0.3">
      <c r="A247" t="s">
        <v>59</v>
      </c>
      <c r="B247" t="s">
        <v>22</v>
      </c>
      <c r="C247">
        <v>0</v>
      </c>
      <c r="D247">
        <v>0.31981760785689239</v>
      </c>
      <c r="E247">
        <v>0.26201332865661175</v>
      </c>
      <c r="F247">
        <v>0.20357769203788148</v>
      </c>
      <c r="G247">
        <v>0.14373903893370749</v>
      </c>
      <c r="H247">
        <v>7.0852332514907052E-2</v>
      </c>
      <c r="I247">
        <v>45.59</v>
      </c>
      <c r="J247">
        <v>37.35</v>
      </c>
      <c r="K247">
        <v>29.02</v>
      </c>
      <c r="L247">
        <v>20.49</v>
      </c>
      <c r="M247">
        <v>10.1</v>
      </c>
      <c r="N247">
        <f t="shared" si="14"/>
        <v>25.767590319186247</v>
      </c>
    </row>
    <row r="248" spans="1:14" x14ac:dyDescent="0.3">
      <c r="A248" t="s">
        <v>59</v>
      </c>
      <c r="B248" t="s">
        <v>22</v>
      </c>
      <c r="C248">
        <v>0</v>
      </c>
      <c r="D248">
        <v>0.31325998841922409</v>
      </c>
      <c r="E248">
        <v>0.22756224667052694</v>
      </c>
      <c r="F248">
        <v>0.19745222929936307</v>
      </c>
      <c r="G248">
        <v>0.16010422698320789</v>
      </c>
      <c r="H248">
        <v>0.10162130862767806</v>
      </c>
      <c r="I248">
        <v>10.82</v>
      </c>
      <c r="J248">
        <v>7.86</v>
      </c>
      <c r="K248">
        <v>6.82</v>
      </c>
      <c r="L248">
        <v>5.53</v>
      </c>
      <c r="M248">
        <v>3.51</v>
      </c>
      <c r="N248">
        <f t="shared" si="14"/>
        <v>26.018529241459174</v>
      </c>
    </row>
    <row r="249" spans="1:14" x14ac:dyDescent="0.3">
      <c r="A249" t="s">
        <v>59</v>
      </c>
      <c r="B249" t="s">
        <v>22</v>
      </c>
      <c r="C249">
        <v>0</v>
      </c>
      <c r="D249">
        <v>0.25252890173410408</v>
      </c>
      <c r="E249">
        <v>0.21748554913294796</v>
      </c>
      <c r="F249">
        <v>0.21676300578034682</v>
      </c>
      <c r="G249">
        <v>0.20881502890173412</v>
      </c>
      <c r="H249">
        <v>0.10440751445086706</v>
      </c>
      <c r="I249">
        <v>6.99</v>
      </c>
      <c r="J249">
        <v>6.02</v>
      </c>
      <c r="K249">
        <v>6</v>
      </c>
      <c r="L249">
        <v>5.78</v>
      </c>
      <c r="M249">
        <v>2.89</v>
      </c>
      <c r="N249">
        <f t="shared" si="14"/>
        <v>26.390173410404628</v>
      </c>
    </row>
    <row r="250" spans="1:14" x14ac:dyDescent="0.3">
      <c r="A250" t="s">
        <v>59</v>
      </c>
      <c r="B250" t="s">
        <v>22</v>
      </c>
      <c r="C250">
        <v>0</v>
      </c>
      <c r="D250">
        <v>0.53658536585365857</v>
      </c>
      <c r="E250">
        <v>0.11730545876887341</v>
      </c>
      <c r="F250">
        <v>6.7363530778164926E-2</v>
      </c>
      <c r="G250">
        <v>0.20325203252032523</v>
      </c>
      <c r="H250">
        <v>7.5493612078977937E-2</v>
      </c>
      <c r="I250">
        <v>4.62</v>
      </c>
      <c r="J250">
        <v>1.01</v>
      </c>
      <c r="K250">
        <v>0.57999999999999996</v>
      </c>
      <c r="L250">
        <v>1.75</v>
      </c>
      <c r="M250">
        <v>0.65</v>
      </c>
      <c r="N250">
        <f t="shared" si="14"/>
        <v>25.327526132404181</v>
      </c>
    </row>
    <row r="251" spans="1:14" x14ac:dyDescent="0.3">
      <c r="A251" t="s">
        <v>59</v>
      </c>
      <c r="B251" t="s">
        <v>22</v>
      </c>
      <c r="C251">
        <v>0</v>
      </c>
      <c r="D251">
        <v>0.33390022675736958</v>
      </c>
      <c r="E251">
        <v>0.22789115646258501</v>
      </c>
      <c r="F251">
        <v>0.19331065759637189</v>
      </c>
      <c r="G251">
        <v>0.21371882086167801</v>
      </c>
      <c r="H251">
        <v>3.1179138321995467E-2</v>
      </c>
      <c r="I251">
        <v>5.89</v>
      </c>
      <c r="J251">
        <v>4.0199999999999996</v>
      </c>
      <c r="K251">
        <v>3.41</v>
      </c>
      <c r="L251">
        <v>3.77</v>
      </c>
      <c r="M251">
        <v>0.55000000000000004</v>
      </c>
      <c r="N251">
        <f t="shared" si="14"/>
        <v>25.76077097505669</v>
      </c>
    </row>
    <row r="252" spans="1:14" x14ac:dyDescent="0.3">
      <c r="A252" t="s">
        <v>59</v>
      </c>
      <c r="B252" t="s">
        <v>22</v>
      </c>
      <c r="C252">
        <v>0</v>
      </c>
      <c r="D252">
        <v>0.55944931163954936</v>
      </c>
      <c r="E252">
        <v>0.29224030037546933</v>
      </c>
      <c r="F252">
        <v>8.7609511889862324E-2</v>
      </c>
      <c r="G252">
        <v>4.5056320400500623E-2</v>
      </c>
      <c r="H252">
        <v>1.5644555694618274E-2</v>
      </c>
      <c r="I252">
        <v>8.94</v>
      </c>
      <c r="J252">
        <v>4.67</v>
      </c>
      <c r="K252">
        <v>1.4</v>
      </c>
      <c r="L252">
        <v>0.72</v>
      </c>
      <c r="M252">
        <v>0.25</v>
      </c>
      <c r="N252">
        <f t="shared" si="14"/>
        <v>24.330413016270331</v>
      </c>
    </row>
    <row r="253" spans="1:14" x14ac:dyDescent="0.3">
      <c r="A253" t="s">
        <v>118</v>
      </c>
      <c r="B253" t="s">
        <v>31</v>
      </c>
      <c r="C253">
        <v>0</v>
      </c>
      <c r="D253">
        <v>3.286670724284845E-3</v>
      </c>
      <c r="E253">
        <v>4.0608642726719414E-2</v>
      </c>
      <c r="F253">
        <v>0.3594400486914181</v>
      </c>
      <c r="G253">
        <v>0.31885575167376751</v>
      </c>
      <c r="H253">
        <v>0.27780888618381011</v>
      </c>
      <c r="I253">
        <v>1.35</v>
      </c>
      <c r="J253">
        <v>16.68</v>
      </c>
      <c r="K253">
        <v>147.63999999999999</v>
      </c>
      <c r="L253">
        <v>130.97</v>
      </c>
      <c r="M253">
        <v>114.11</v>
      </c>
      <c r="N253">
        <f t="shared" si="14"/>
        <v>28.654583079732198</v>
      </c>
    </row>
    <row r="254" spans="1:14" x14ac:dyDescent="0.3">
      <c r="A254" t="s">
        <v>141</v>
      </c>
      <c r="B254" t="s">
        <v>149</v>
      </c>
      <c r="C254">
        <v>0</v>
      </c>
      <c r="D254">
        <f t="shared" ref="D254:H255" si="15">I254/SUM($I254:$M254)</f>
        <v>2.2832083331854099E-2</v>
      </c>
      <c r="E254">
        <f t="shared" si="15"/>
        <v>8.6697198725013122E-2</v>
      </c>
      <c r="F254">
        <f t="shared" si="15"/>
        <v>0.23335768076918978</v>
      </c>
      <c r="G254">
        <f t="shared" si="15"/>
        <v>0.59650844172857975</v>
      </c>
      <c r="H254">
        <f t="shared" si="15"/>
        <v>6.060459544536332E-2</v>
      </c>
      <c r="I254">
        <v>15.331487430716507</v>
      </c>
      <c r="J254">
        <v>58.216194869806095</v>
      </c>
      <c r="K254">
        <v>156.69706077949289</v>
      </c>
      <c r="L254">
        <v>400.54871663502081</v>
      </c>
      <c r="M254">
        <v>40.695304927252707</v>
      </c>
      <c r="N254">
        <f t="shared" si="14"/>
        <v>28.17071253446117</v>
      </c>
    </row>
    <row r="255" spans="1:14" x14ac:dyDescent="0.3">
      <c r="A255" t="s">
        <v>141</v>
      </c>
      <c r="B255" t="s">
        <v>149</v>
      </c>
      <c r="C255">
        <v>0</v>
      </c>
      <c r="D255">
        <f t="shared" si="15"/>
        <v>4.6323524252553171E-2</v>
      </c>
      <c r="E255">
        <f t="shared" si="15"/>
        <v>0.21906303994968546</v>
      </c>
      <c r="F255">
        <f t="shared" si="15"/>
        <v>0.35433172360092685</v>
      </c>
      <c r="G255">
        <f t="shared" si="15"/>
        <v>0.34763981498103474</v>
      </c>
      <c r="H255">
        <f t="shared" si="15"/>
        <v>3.2641897215799721E-2</v>
      </c>
      <c r="I255">
        <v>19.435182088732589</v>
      </c>
      <c r="J255">
        <v>91.908595881471172</v>
      </c>
      <c r="K255">
        <v>148.66100278669802</v>
      </c>
      <c r="L255">
        <v>145.85339121898372</v>
      </c>
      <c r="M255">
        <v>13.695011904794683</v>
      </c>
      <c r="N255">
        <f t="shared" si="14"/>
        <v>27.202427041915687</v>
      </c>
    </row>
    <row r="256" spans="1:14" x14ac:dyDescent="0.3">
      <c r="A256" t="s">
        <v>60</v>
      </c>
      <c r="B256" t="s">
        <v>47</v>
      </c>
      <c r="C256">
        <v>0</v>
      </c>
      <c r="D256">
        <v>0.11567164179104478</v>
      </c>
      <c r="E256">
        <v>0.23880597014925373</v>
      </c>
      <c r="F256">
        <v>0.44402985074626866</v>
      </c>
      <c r="G256">
        <v>0.17537313432835822</v>
      </c>
      <c r="H256">
        <v>2.6119402985074626E-2</v>
      </c>
      <c r="I256">
        <v>31</v>
      </c>
      <c r="J256">
        <v>64</v>
      </c>
      <c r="K256">
        <v>119</v>
      </c>
      <c r="L256">
        <v>47</v>
      </c>
      <c r="M256">
        <v>7</v>
      </c>
      <c r="N256">
        <f t="shared" si="14"/>
        <v>26.514925373134332</v>
      </c>
    </row>
    <row r="257" spans="1:14" x14ac:dyDescent="0.3">
      <c r="A257" t="s">
        <v>61</v>
      </c>
      <c r="B257" t="s">
        <v>18</v>
      </c>
      <c r="C257">
        <v>0</v>
      </c>
      <c r="D257">
        <v>0.18692356862386994</v>
      </c>
      <c r="E257">
        <v>0.18742580586247828</v>
      </c>
      <c r="F257">
        <v>0.17806593005205004</v>
      </c>
      <c r="G257">
        <v>0.13441694822390649</v>
      </c>
      <c r="H257">
        <v>0.31316774723769519</v>
      </c>
      <c r="I257">
        <v>40.94</v>
      </c>
      <c r="J257">
        <v>41.05</v>
      </c>
      <c r="K257">
        <v>39</v>
      </c>
      <c r="L257">
        <v>29.44</v>
      </c>
      <c r="M257">
        <v>68.59</v>
      </c>
      <c r="N257">
        <f t="shared" si="14"/>
        <v>27.398958999178156</v>
      </c>
    </row>
    <row r="258" spans="1:14" x14ac:dyDescent="0.3">
      <c r="A258" t="s">
        <v>61</v>
      </c>
      <c r="B258" t="s">
        <v>18</v>
      </c>
      <c r="C258">
        <v>0</v>
      </c>
      <c r="D258">
        <v>0.16735253772290812</v>
      </c>
      <c r="E258">
        <v>0.13580246913580249</v>
      </c>
      <c r="F258">
        <v>0.1440329218106996</v>
      </c>
      <c r="G258">
        <v>9.7393689986282589E-2</v>
      </c>
      <c r="H258">
        <v>0.45541838134430729</v>
      </c>
      <c r="I258">
        <v>2.44</v>
      </c>
      <c r="J258">
        <v>1.98</v>
      </c>
      <c r="K258">
        <v>2.1</v>
      </c>
      <c r="L258">
        <v>1.42</v>
      </c>
      <c r="M258">
        <v>6.64</v>
      </c>
      <c r="N258">
        <f t="shared" si="14"/>
        <v>28.075445816186559</v>
      </c>
    </row>
    <row r="259" spans="1:14" x14ac:dyDescent="0.3">
      <c r="A259" t="s">
        <v>62</v>
      </c>
      <c r="B259" t="s">
        <v>18</v>
      </c>
      <c r="C259">
        <v>0</v>
      </c>
      <c r="D259">
        <v>0.16465951390409461</v>
      </c>
      <c r="E259">
        <v>0.20713816509743818</v>
      </c>
      <c r="F259">
        <v>0.24173417998686228</v>
      </c>
      <c r="G259">
        <v>0.21961900591197725</v>
      </c>
      <c r="H259">
        <v>0.16684913509962779</v>
      </c>
      <c r="I259">
        <v>7.52</v>
      </c>
      <c r="J259">
        <v>9.4600000000000009</v>
      </c>
      <c r="K259">
        <v>11.04</v>
      </c>
      <c r="L259">
        <v>10.029999999999999</v>
      </c>
      <c r="M259">
        <v>7.62</v>
      </c>
      <c r="N259">
        <f t="shared" si="14"/>
        <v>27.033720166411207</v>
      </c>
    </row>
    <row r="260" spans="1:14" x14ac:dyDescent="0.3">
      <c r="A260" t="s">
        <v>63</v>
      </c>
      <c r="B260" t="s">
        <v>31</v>
      </c>
      <c r="C260">
        <v>0</v>
      </c>
      <c r="D260">
        <v>0.12791731495887973</v>
      </c>
      <c r="E260">
        <v>0.21638141809290951</v>
      </c>
      <c r="F260">
        <v>0.34040897977328294</v>
      </c>
      <c r="G260">
        <v>0.25694598799733276</v>
      </c>
      <c r="H260">
        <v>5.8346299177595019E-2</v>
      </c>
      <c r="I260">
        <v>11.51</v>
      </c>
      <c r="J260">
        <v>19.47</v>
      </c>
      <c r="K260">
        <v>30.63</v>
      </c>
      <c r="L260">
        <v>23.12</v>
      </c>
      <c r="M260">
        <v>5.25</v>
      </c>
      <c r="N260">
        <f t="shared" si="14"/>
        <v>26.802845076683703</v>
      </c>
    </row>
    <row r="261" spans="1:14" x14ac:dyDescent="0.3">
      <c r="A261" t="s">
        <v>119</v>
      </c>
      <c r="B261" t="s">
        <v>15</v>
      </c>
      <c r="C261">
        <v>0</v>
      </c>
      <c r="D261">
        <v>0</v>
      </c>
      <c r="E261">
        <v>3.8089657193085269E-3</v>
      </c>
      <c r="F261">
        <v>4.365660709053619E-2</v>
      </c>
      <c r="G261">
        <v>0.18165836507471436</v>
      </c>
      <c r="H261">
        <v>0.77087606211544102</v>
      </c>
      <c r="I261">
        <v>0</v>
      </c>
      <c r="J261">
        <v>0.13</v>
      </c>
      <c r="K261">
        <v>1.49</v>
      </c>
      <c r="L261">
        <v>6.2</v>
      </c>
      <c r="M261">
        <v>26.31</v>
      </c>
      <c r="N261">
        <f t="shared" si="14"/>
        <v>30.439203047172576</v>
      </c>
    </row>
    <row r="262" spans="1:14" x14ac:dyDescent="0.3">
      <c r="A262" t="s">
        <v>184</v>
      </c>
      <c r="B262" t="s">
        <v>15</v>
      </c>
      <c r="C262">
        <v>0</v>
      </c>
      <c r="D262">
        <v>0.19183673469387755</v>
      </c>
      <c r="E262">
        <v>6.5306122448979598E-2</v>
      </c>
      <c r="F262">
        <v>0.10748299319727893</v>
      </c>
      <c r="G262">
        <v>0.25170068027210885</v>
      </c>
      <c r="H262">
        <v>0.3836734693877551</v>
      </c>
      <c r="I262">
        <v>1.41</v>
      </c>
      <c r="J262">
        <v>0.48</v>
      </c>
      <c r="K262">
        <v>0.79</v>
      </c>
      <c r="L262">
        <v>1.85</v>
      </c>
      <c r="M262">
        <v>2.82</v>
      </c>
      <c r="N262">
        <f t="shared" ref="N262:N324" si="16">(D262*23+E262*25+F262*27+G262*29+H262*31)/SUM(D262:H262)</f>
        <v>28.140136054421767</v>
      </c>
    </row>
    <row r="263" spans="1:14" x14ac:dyDescent="0.3">
      <c r="A263" t="s">
        <v>131</v>
      </c>
      <c r="B263" t="s">
        <v>16</v>
      </c>
      <c r="C263">
        <v>0</v>
      </c>
      <c r="D263">
        <v>0.44690265486725661</v>
      </c>
      <c r="E263">
        <v>0.14933628318584069</v>
      </c>
      <c r="F263">
        <v>8.8495575221238937E-2</v>
      </c>
      <c r="G263">
        <v>0.17146017699115043</v>
      </c>
      <c r="H263">
        <v>0.14380530973451328</v>
      </c>
      <c r="I263">
        <v>4.04</v>
      </c>
      <c r="J263">
        <v>1.35</v>
      </c>
      <c r="K263">
        <v>0.8</v>
      </c>
      <c r="L263">
        <v>1.55</v>
      </c>
      <c r="M263">
        <v>1.3</v>
      </c>
      <c r="N263">
        <f t="shared" si="16"/>
        <v>25.831858407079647</v>
      </c>
    </row>
    <row r="264" spans="1:14" x14ac:dyDescent="0.3">
      <c r="A264" t="s">
        <v>132</v>
      </c>
      <c r="B264" t="s">
        <v>16</v>
      </c>
      <c r="C264">
        <v>0</v>
      </c>
      <c r="D264">
        <v>0.17789181098995085</v>
      </c>
      <c r="E264">
        <v>0.16335257643788753</v>
      </c>
      <c r="F264">
        <v>8.1462475946119314E-2</v>
      </c>
      <c r="G264">
        <v>0.25614710284370323</v>
      </c>
      <c r="H264">
        <v>0.32114603378233914</v>
      </c>
      <c r="I264">
        <v>8.32</v>
      </c>
      <c r="J264">
        <v>7.64</v>
      </c>
      <c r="K264">
        <v>3.81</v>
      </c>
      <c r="L264">
        <v>11.98</v>
      </c>
      <c r="M264">
        <v>15.02</v>
      </c>
      <c r="N264">
        <f t="shared" si="16"/>
        <v>27.758605943981188</v>
      </c>
    </row>
    <row r="265" spans="1:14" x14ac:dyDescent="0.3">
      <c r="A265" t="s">
        <v>132</v>
      </c>
      <c r="B265" t="s">
        <v>16</v>
      </c>
      <c r="C265">
        <v>0</v>
      </c>
      <c r="D265">
        <v>0.12639664804469275</v>
      </c>
      <c r="E265">
        <v>0.24162011173184356</v>
      </c>
      <c r="F265">
        <v>0.25349162011173182</v>
      </c>
      <c r="G265">
        <v>0.2527932960893855</v>
      </c>
      <c r="H265">
        <v>0.12569832402234637</v>
      </c>
      <c r="I265">
        <v>1.81</v>
      </c>
      <c r="J265">
        <v>3.46</v>
      </c>
      <c r="K265">
        <v>3.63</v>
      </c>
      <c r="L265">
        <v>3.62</v>
      </c>
      <c r="M265">
        <v>1.8</v>
      </c>
      <c r="N265">
        <f t="shared" si="16"/>
        <v>27.019553072625698</v>
      </c>
    </row>
    <row r="266" spans="1:14" x14ac:dyDescent="0.3">
      <c r="A266" t="s">
        <v>64</v>
      </c>
      <c r="B266" t="s">
        <v>16</v>
      </c>
      <c r="C266">
        <v>0</v>
      </c>
      <c r="D266">
        <v>3.7508225488045617E-2</v>
      </c>
      <c r="E266">
        <v>3.1366527747313001E-2</v>
      </c>
      <c r="F266">
        <v>4.6282079403377925E-2</v>
      </c>
      <c r="G266">
        <v>0.80193024786137312</v>
      </c>
      <c r="H266">
        <v>8.2912919499890311E-2</v>
      </c>
      <c r="I266">
        <v>1.71</v>
      </c>
      <c r="J266">
        <v>1.43</v>
      </c>
      <c r="K266">
        <v>2.11</v>
      </c>
      <c r="L266">
        <v>36.56</v>
      </c>
      <c r="M266">
        <v>3.78</v>
      </c>
      <c r="N266">
        <f t="shared" si="16"/>
        <v>28.7227462162755</v>
      </c>
    </row>
    <row r="267" spans="1:14" x14ac:dyDescent="0.3">
      <c r="A267" t="s">
        <v>64</v>
      </c>
      <c r="B267" t="s">
        <v>16</v>
      </c>
      <c r="C267">
        <v>0</v>
      </c>
      <c r="D267">
        <v>8.358012504113195E-2</v>
      </c>
      <c r="E267">
        <v>6.8443566962816713E-2</v>
      </c>
      <c r="F267">
        <v>7.6999012833168803E-2</v>
      </c>
      <c r="G267">
        <v>0.65251727541954585</v>
      </c>
      <c r="H267">
        <v>0.11846001974333663</v>
      </c>
      <c r="I267">
        <v>2.54</v>
      </c>
      <c r="J267">
        <v>2.08</v>
      </c>
      <c r="K267">
        <v>2.34</v>
      </c>
      <c r="L267">
        <v>19.829999999999998</v>
      </c>
      <c r="M267">
        <v>3.6</v>
      </c>
      <c r="N267">
        <f t="shared" si="16"/>
        <v>28.307666995722279</v>
      </c>
    </row>
    <row r="268" spans="1:14" x14ac:dyDescent="0.3">
      <c r="A268" t="s">
        <v>64</v>
      </c>
      <c r="B268" t="s">
        <v>16</v>
      </c>
      <c r="C268">
        <v>0</v>
      </c>
      <c r="D268">
        <v>6.4224850565941752E-2</v>
      </c>
      <c r="E268">
        <v>5.1761414218491675E-2</v>
      </c>
      <c r="F268">
        <v>0.18262749586671753</v>
      </c>
      <c r="G268">
        <v>0.68688795625079491</v>
      </c>
      <c r="H268">
        <v>1.4498283098054177E-2</v>
      </c>
      <c r="I268">
        <v>5.05</v>
      </c>
      <c r="J268">
        <v>4.07</v>
      </c>
      <c r="K268">
        <v>14.36</v>
      </c>
      <c r="L268">
        <v>54.01</v>
      </c>
      <c r="M268">
        <v>1.1399999999999999</v>
      </c>
      <c r="N268">
        <f t="shared" si="16"/>
        <v>28.071346814193056</v>
      </c>
    </row>
    <row r="269" spans="1:14" x14ac:dyDescent="0.3">
      <c r="A269" t="s">
        <v>168</v>
      </c>
      <c r="B269" t="s">
        <v>16</v>
      </c>
      <c r="C269">
        <v>0</v>
      </c>
      <c r="D269">
        <f>I269/SUM($I269:$M269)</f>
        <v>8.6956521739130432E-2</v>
      </c>
      <c r="E269">
        <f>J269/SUM($I269:$M269)</f>
        <v>0.10869565217391304</v>
      </c>
      <c r="F269">
        <f>K269/SUM($I269:$M269)</f>
        <v>0.39855072463768115</v>
      </c>
      <c r="G269">
        <f>L269/SUM($I269:$M269)</f>
        <v>0.27536231884057966</v>
      </c>
      <c r="H269">
        <f>M269/SUM($I269:$M269)</f>
        <v>0.13043478260869565</v>
      </c>
      <c r="I269">
        <v>1.2</v>
      </c>
      <c r="J269">
        <v>1.5</v>
      </c>
      <c r="K269">
        <v>5.5</v>
      </c>
      <c r="L269">
        <v>3.8</v>
      </c>
      <c r="M269">
        <v>1.8</v>
      </c>
      <c r="N269">
        <f t="shared" si="16"/>
        <v>27.507246376811597</v>
      </c>
    </row>
    <row r="270" spans="1:14" x14ac:dyDescent="0.3">
      <c r="A270" t="s">
        <v>120</v>
      </c>
      <c r="B270" t="s">
        <v>16</v>
      </c>
      <c r="C270">
        <v>0</v>
      </c>
      <c r="D270">
        <v>9.6642929806714156E-2</v>
      </c>
      <c r="E270">
        <v>0.17726347914547308</v>
      </c>
      <c r="F270">
        <v>0.10274669379450663</v>
      </c>
      <c r="G270">
        <v>0.3377416073245168</v>
      </c>
      <c r="H270">
        <v>0.28560528992878947</v>
      </c>
      <c r="I270">
        <v>3.8</v>
      </c>
      <c r="J270">
        <v>6.97</v>
      </c>
      <c r="K270">
        <v>4.04</v>
      </c>
      <c r="L270">
        <v>13.28</v>
      </c>
      <c r="M270">
        <v>11.23</v>
      </c>
      <c r="N270">
        <f t="shared" si="16"/>
        <v>28.076805696846385</v>
      </c>
    </row>
    <row r="271" spans="1:14" x14ac:dyDescent="0.3">
      <c r="A271" t="s">
        <v>120</v>
      </c>
      <c r="B271" t="s">
        <v>16</v>
      </c>
      <c r="C271">
        <v>0</v>
      </c>
      <c r="D271">
        <v>4.5519203413940244E-2</v>
      </c>
      <c r="E271">
        <v>0.19013750592697956</v>
      </c>
      <c r="F271">
        <v>0.30014224751066854</v>
      </c>
      <c r="G271">
        <v>0.29682313892840201</v>
      </c>
      <c r="H271">
        <v>0.16737790422000945</v>
      </c>
      <c r="I271">
        <v>0.96</v>
      </c>
      <c r="J271">
        <v>4.01</v>
      </c>
      <c r="K271">
        <v>6.33</v>
      </c>
      <c r="L271">
        <v>6.26</v>
      </c>
      <c r="M271">
        <v>3.53</v>
      </c>
      <c r="N271">
        <f t="shared" si="16"/>
        <v>27.700806069227124</v>
      </c>
    </row>
    <row r="272" spans="1:14" x14ac:dyDescent="0.3">
      <c r="A272" t="s">
        <v>120</v>
      </c>
      <c r="B272" t="s">
        <v>16</v>
      </c>
      <c r="C272">
        <v>0</v>
      </c>
      <c r="D272">
        <v>0.18323353293413175</v>
      </c>
      <c r="E272">
        <v>0.35868263473053896</v>
      </c>
      <c r="F272">
        <v>0.18203592814371258</v>
      </c>
      <c r="G272">
        <v>0.16826347305389222</v>
      </c>
      <c r="H272">
        <v>0.10778443113772455</v>
      </c>
      <c r="I272">
        <v>3.06</v>
      </c>
      <c r="J272">
        <v>5.99</v>
      </c>
      <c r="K272">
        <v>3.04</v>
      </c>
      <c r="L272">
        <v>2.81</v>
      </c>
      <c r="M272">
        <v>1.8</v>
      </c>
      <c r="N272">
        <f t="shared" si="16"/>
        <v>26.317365269461078</v>
      </c>
    </row>
    <row r="273" spans="1:14" x14ac:dyDescent="0.3">
      <c r="A273" t="s">
        <v>120</v>
      </c>
      <c r="B273" t="s">
        <v>16</v>
      </c>
      <c r="C273">
        <v>0</v>
      </c>
      <c r="D273">
        <v>0.19902912621359226</v>
      </c>
      <c r="E273">
        <v>0.39283047050037345</v>
      </c>
      <c r="F273">
        <v>0.21172516803584768</v>
      </c>
      <c r="G273">
        <v>0.14077669902912623</v>
      </c>
      <c r="H273">
        <v>5.5638536221060499E-2</v>
      </c>
      <c r="I273">
        <v>5.33</v>
      </c>
      <c r="J273">
        <v>10.52</v>
      </c>
      <c r="K273">
        <v>5.67</v>
      </c>
      <c r="L273">
        <v>3.77</v>
      </c>
      <c r="M273">
        <v>1.49</v>
      </c>
      <c r="N273">
        <f t="shared" si="16"/>
        <v>25.922330097087386</v>
      </c>
    </row>
    <row r="274" spans="1:14" x14ac:dyDescent="0.3">
      <c r="A274" t="s">
        <v>120</v>
      </c>
      <c r="B274" t="s">
        <v>16</v>
      </c>
      <c r="C274">
        <v>0</v>
      </c>
      <c r="D274">
        <v>0.29051029543419876</v>
      </c>
      <c r="E274">
        <v>0.36615935541629363</v>
      </c>
      <c r="F274">
        <v>0.17188898836168306</v>
      </c>
      <c r="G274">
        <v>0.11504028648164727</v>
      </c>
      <c r="H274">
        <v>5.640107430617726E-2</v>
      </c>
      <c r="I274">
        <v>6.49</v>
      </c>
      <c r="J274">
        <v>8.18</v>
      </c>
      <c r="K274">
        <v>3.84</v>
      </c>
      <c r="L274">
        <v>2.57</v>
      </c>
      <c r="M274">
        <v>1.26</v>
      </c>
      <c r="N274">
        <f t="shared" si="16"/>
        <v>25.561324977618625</v>
      </c>
    </row>
    <row r="275" spans="1:14" x14ac:dyDescent="0.3">
      <c r="A275" t="s">
        <v>120</v>
      </c>
      <c r="B275" t="s">
        <v>16</v>
      </c>
      <c r="C275">
        <v>0</v>
      </c>
      <c r="D275">
        <v>0.24359912216532553</v>
      </c>
      <c r="E275">
        <v>0.29919531821506951</v>
      </c>
      <c r="F275">
        <v>0.17849305047549377</v>
      </c>
      <c r="G275">
        <v>0.18653986832479882</v>
      </c>
      <c r="H275">
        <v>9.2172640819312368E-2</v>
      </c>
      <c r="I275">
        <v>3.33</v>
      </c>
      <c r="J275">
        <v>4.09</v>
      </c>
      <c r="K275">
        <v>2.44</v>
      </c>
      <c r="L275">
        <v>2.5499999999999998</v>
      </c>
      <c r="M275">
        <v>1.26</v>
      </c>
      <c r="N275">
        <f t="shared" si="16"/>
        <v>26.168983174835407</v>
      </c>
    </row>
    <row r="276" spans="1:14" x14ac:dyDescent="0.3">
      <c r="A276" t="s">
        <v>120</v>
      </c>
      <c r="B276" t="s">
        <v>16</v>
      </c>
      <c r="C276">
        <v>0</v>
      </c>
      <c r="D276">
        <v>0.12925170068027211</v>
      </c>
      <c r="E276">
        <v>0.34596695821185613</v>
      </c>
      <c r="F276">
        <v>0.25753158406219628</v>
      </c>
      <c r="G276">
        <v>0.15646258503401361</v>
      </c>
      <c r="H276">
        <v>0.11078717201166179</v>
      </c>
      <c r="I276">
        <v>1.33</v>
      </c>
      <c r="J276">
        <v>3.56</v>
      </c>
      <c r="K276">
        <v>2.65</v>
      </c>
      <c r="L276">
        <v>1.61</v>
      </c>
      <c r="M276">
        <v>1.1399999999999999</v>
      </c>
      <c r="N276">
        <f t="shared" si="16"/>
        <v>26.547133138969876</v>
      </c>
    </row>
    <row r="277" spans="1:14" x14ac:dyDescent="0.3">
      <c r="A277" t="s">
        <v>120</v>
      </c>
      <c r="B277" t="s">
        <v>16</v>
      </c>
      <c r="C277">
        <v>0</v>
      </c>
      <c r="D277">
        <v>0.29786176031824962</v>
      </c>
      <c r="E277">
        <v>0.32869219293883645</v>
      </c>
      <c r="F277">
        <v>0.18050721034311287</v>
      </c>
      <c r="G277">
        <v>0.13674788662357037</v>
      </c>
      <c r="H277">
        <v>5.6190949776230729E-2</v>
      </c>
      <c r="I277">
        <v>5.99</v>
      </c>
      <c r="J277">
        <v>6.61</v>
      </c>
      <c r="K277">
        <v>3.63</v>
      </c>
      <c r="L277">
        <v>2.75</v>
      </c>
      <c r="M277">
        <v>1.1299999999999999</v>
      </c>
      <c r="N277">
        <f t="shared" si="16"/>
        <v>25.649428145201394</v>
      </c>
    </row>
    <row r="278" spans="1:14" x14ac:dyDescent="0.3">
      <c r="A278" t="s">
        <v>89</v>
      </c>
      <c r="B278" t="s">
        <v>15</v>
      </c>
      <c r="C278">
        <v>0</v>
      </c>
      <c r="D278">
        <v>1.9086571233810495E-2</v>
      </c>
      <c r="E278">
        <v>2.0677118836628039E-2</v>
      </c>
      <c r="F278">
        <v>2.2040445353328785E-2</v>
      </c>
      <c r="G278">
        <v>5.4760281754146781E-2</v>
      </c>
      <c r="H278">
        <v>0.8834355828220859</v>
      </c>
      <c r="I278">
        <v>0.84</v>
      </c>
      <c r="J278">
        <v>0.91</v>
      </c>
      <c r="K278">
        <v>0.97</v>
      </c>
      <c r="L278">
        <v>2.41</v>
      </c>
      <c r="M278">
        <v>38.880000000000003</v>
      </c>
      <c r="N278">
        <f t="shared" si="16"/>
        <v>30.525562372188141</v>
      </c>
    </row>
    <row r="279" spans="1:14" x14ac:dyDescent="0.3">
      <c r="A279" t="s">
        <v>89</v>
      </c>
      <c r="B279" t="s">
        <v>15</v>
      </c>
      <c r="C279">
        <v>0</v>
      </c>
      <c r="D279">
        <v>5.1172707889125795E-3</v>
      </c>
      <c r="E279">
        <v>1.4925373134328358E-2</v>
      </c>
      <c r="F279">
        <v>3.6673773987206823E-2</v>
      </c>
      <c r="G279">
        <v>9.0831556503198296E-2</v>
      </c>
      <c r="H279">
        <v>0.85245202558635391</v>
      </c>
      <c r="I279">
        <v>0.12</v>
      </c>
      <c r="J279">
        <v>0.35</v>
      </c>
      <c r="K279">
        <v>0.86</v>
      </c>
      <c r="L279">
        <v>2.13</v>
      </c>
      <c r="M279">
        <v>19.989999999999998</v>
      </c>
      <c r="N279">
        <f t="shared" si="16"/>
        <v>30.541151385927506</v>
      </c>
    </row>
    <row r="280" spans="1:14" x14ac:dyDescent="0.3">
      <c r="A280" t="s">
        <v>177</v>
      </c>
      <c r="B280" t="s">
        <v>31</v>
      </c>
      <c r="C280">
        <v>0</v>
      </c>
      <c r="D280">
        <f t="shared" ref="D280:D293" si="17">I280/SUM($I280:$M280)</f>
        <v>0</v>
      </c>
      <c r="E280">
        <f t="shared" ref="E280:E293" si="18">J280/SUM($I280:$M280)</f>
        <v>2.8985507246376812E-2</v>
      </c>
      <c r="F280">
        <f t="shared" ref="F280:F293" si="19">K280/SUM($I280:$M280)</f>
        <v>0.12318840579710146</v>
      </c>
      <c r="G280">
        <f t="shared" ref="G280:G293" si="20">L280/SUM($I280:$M280)</f>
        <v>0.22463768115942029</v>
      </c>
      <c r="H280">
        <f t="shared" ref="H280:H293" si="21">M280/SUM($I280:$M280)</f>
        <v>0.62318840579710144</v>
      </c>
      <c r="I280">
        <v>0</v>
      </c>
      <c r="J280">
        <v>4</v>
      </c>
      <c r="K280">
        <v>17</v>
      </c>
      <c r="L280">
        <v>31</v>
      </c>
      <c r="M280">
        <v>86</v>
      </c>
      <c r="N280">
        <f t="shared" si="16"/>
        <v>29.884057971014492</v>
      </c>
    </row>
    <row r="281" spans="1:14" x14ac:dyDescent="0.3">
      <c r="A281" t="s">
        <v>177</v>
      </c>
      <c r="B281" t="s">
        <v>31</v>
      </c>
      <c r="C281">
        <v>0</v>
      </c>
      <c r="D281">
        <f t="shared" si="17"/>
        <v>0</v>
      </c>
      <c r="E281">
        <f t="shared" si="18"/>
        <v>0</v>
      </c>
      <c r="F281">
        <f t="shared" si="19"/>
        <v>8.0459770114942528E-2</v>
      </c>
      <c r="G281">
        <f t="shared" si="20"/>
        <v>0.26436781609195403</v>
      </c>
      <c r="H281">
        <f t="shared" si="21"/>
        <v>0.65517241379310343</v>
      </c>
      <c r="I281">
        <v>0</v>
      </c>
      <c r="J281">
        <v>0</v>
      </c>
      <c r="K281">
        <v>7</v>
      </c>
      <c r="L281">
        <v>23</v>
      </c>
      <c r="M281">
        <v>57</v>
      </c>
      <c r="N281">
        <f t="shared" si="16"/>
        <v>30.149425287356323</v>
      </c>
    </row>
    <row r="282" spans="1:14" x14ac:dyDescent="0.3">
      <c r="A282" t="s">
        <v>177</v>
      </c>
      <c r="B282" t="s">
        <v>31</v>
      </c>
      <c r="C282">
        <v>0</v>
      </c>
      <c r="D282">
        <f t="shared" si="17"/>
        <v>0</v>
      </c>
      <c r="E282">
        <f t="shared" si="18"/>
        <v>4.2253521126760563E-2</v>
      </c>
      <c r="F282">
        <f t="shared" si="19"/>
        <v>0.14788732394366197</v>
      </c>
      <c r="G282">
        <f t="shared" si="20"/>
        <v>0.22535211267605634</v>
      </c>
      <c r="H282">
        <f t="shared" si="21"/>
        <v>0.58450704225352113</v>
      </c>
      <c r="I282">
        <v>0</v>
      </c>
      <c r="J282">
        <v>6</v>
      </c>
      <c r="K282">
        <v>21</v>
      </c>
      <c r="L282">
        <v>32</v>
      </c>
      <c r="M282">
        <v>83</v>
      </c>
      <c r="N282">
        <f t="shared" si="16"/>
        <v>29.704225352112676</v>
      </c>
    </row>
    <row r="283" spans="1:14" x14ac:dyDescent="0.3">
      <c r="A283" t="s">
        <v>177</v>
      </c>
      <c r="B283" t="s">
        <v>31</v>
      </c>
      <c r="C283">
        <v>0</v>
      </c>
      <c r="D283">
        <f t="shared" si="17"/>
        <v>0</v>
      </c>
      <c r="E283">
        <f t="shared" si="18"/>
        <v>0</v>
      </c>
      <c r="F283">
        <f t="shared" si="19"/>
        <v>0.08</v>
      </c>
      <c r="G283">
        <f t="shared" si="20"/>
        <v>0.3</v>
      </c>
      <c r="H283">
        <f t="shared" si="21"/>
        <v>0.62</v>
      </c>
      <c r="I283">
        <v>0</v>
      </c>
      <c r="J283">
        <v>0</v>
      </c>
      <c r="K283">
        <v>8</v>
      </c>
      <c r="L283">
        <v>30</v>
      </c>
      <c r="M283">
        <v>62</v>
      </c>
      <c r="N283">
        <f t="shared" si="16"/>
        <v>30.08</v>
      </c>
    </row>
    <row r="284" spans="1:14" x14ac:dyDescent="0.3">
      <c r="A284" t="s">
        <v>177</v>
      </c>
      <c r="B284" t="s">
        <v>31</v>
      </c>
      <c r="C284">
        <v>0</v>
      </c>
      <c r="D284">
        <f t="shared" si="17"/>
        <v>0</v>
      </c>
      <c r="E284">
        <f t="shared" si="18"/>
        <v>2.6845637583892617E-2</v>
      </c>
      <c r="F284">
        <f t="shared" si="19"/>
        <v>7.3825503355704702E-2</v>
      </c>
      <c r="G284">
        <f t="shared" si="20"/>
        <v>0.31543624161073824</v>
      </c>
      <c r="H284">
        <f t="shared" si="21"/>
        <v>0.58389261744966447</v>
      </c>
      <c r="I284">
        <v>0</v>
      </c>
      <c r="J284">
        <v>4</v>
      </c>
      <c r="K284">
        <v>11</v>
      </c>
      <c r="L284">
        <v>47</v>
      </c>
      <c r="M284">
        <v>87</v>
      </c>
      <c r="N284">
        <f t="shared" si="16"/>
        <v>29.912751677852352</v>
      </c>
    </row>
    <row r="285" spans="1:14" x14ac:dyDescent="0.3">
      <c r="A285" t="s">
        <v>177</v>
      </c>
      <c r="B285" t="s">
        <v>31</v>
      </c>
      <c r="C285">
        <v>0</v>
      </c>
      <c r="D285">
        <f t="shared" si="17"/>
        <v>0</v>
      </c>
      <c r="E285">
        <f t="shared" si="18"/>
        <v>0</v>
      </c>
      <c r="F285">
        <f t="shared" si="19"/>
        <v>6.3829787234042548E-2</v>
      </c>
      <c r="G285">
        <f t="shared" si="20"/>
        <v>0.20567375886524822</v>
      </c>
      <c r="H285">
        <f t="shared" si="21"/>
        <v>0.73049645390070927</v>
      </c>
      <c r="I285">
        <v>0</v>
      </c>
      <c r="J285">
        <v>0</v>
      </c>
      <c r="K285">
        <v>9</v>
      </c>
      <c r="L285">
        <v>29</v>
      </c>
      <c r="M285">
        <v>103</v>
      </c>
      <c r="N285">
        <f t="shared" si="16"/>
        <v>30.333333333333336</v>
      </c>
    </row>
    <row r="286" spans="1:14" x14ac:dyDescent="0.3">
      <c r="A286" t="s">
        <v>177</v>
      </c>
      <c r="B286" t="s">
        <v>31</v>
      </c>
      <c r="C286">
        <v>0</v>
      </c>
      <c r="D286">
        <f t="shared" si="17"/>
        <v>0</v>
      </c>
      <c r="E286">
        <f t="shared" si="18"/>
        <v>0</v>
      </c>
      <c r="F286">
        <f t="shared" si="19"/>
        <v>6.5420560747663545E-2</v>
      </c>
      <c r="G286">
        <f t="shared" si="20"/>
        <v>0.21495327102803738</v>
      </c>
      <c r="H286">
        <f t="shared" si="21"/>
        <v>0.71962616822429903</v>
      </c>
      <c r="I286">
        <v>0</v>
      </c>
      <c r="J286">
        <v>0</v>
      </c>
      <c r="K286">
        <v>7</v>
      </c>
      <c r="L286">
        <v>23</v>
      </c>
      <c r="M286">
        <v>77</v>
      </c>
      <c r="N286">
        <f t="shared" si="16"/>
        <v>30.308411214953271</v>
      </c>
    </row>
    <row r="287" spans="1:14" x14ac:dyDescent="0.3">
      <c r="A287" t="s">
        <v>177</v>
      </c>
      <c r="B287" t="s">
        <v>31</v>
      </c>
      <c r="C287">
        <v>0</v>
      </c>
      <c r="D287">
        <f t="shared" si="17"/>
        <v>2.23463687150838E-2</v>
      </c>
      <c r="E287">
        <f t="shared" si="18"/>
        <v>2.23463687150838E-2</v>
      </c>
      <c r="F287">
        <f t="shared" si="19"/>
        <v>5.027932960893855E-2</v>
      </c>
      <c r="G287">
        <f t="shared" si="20"/>
        <v>0.1787709497206704</v>
      </c>
      <c r="H287">
        <f t="shared" si="21"/>
        <v>0.72625698324022347</v>
      </c>
      <c r="I287">
        <v>4</v>
      </c>
      <c r="J287">
        <v>4</v>
      </c>
      <c r="K287">
        <v>9</v>
      </c>
      <c r="L287">
        <v>32</v>
      </c>
      <c r="M287">
        <v>130</v>
      </c>
      <c r="N287">
        <f t="shared" si="16"/>
        <v>30.128491620111731</v>
      </c>
    </row>
    <row r="288" spans="1:14" x14ac:dyDescent="0.3">
      <c r="A288" t="s">
        <v>177</v>
      </c>
      <c r="B288" t="s">
        <v>31</v>
      </c>
      <c r="C288">
        <v>0</v>
      </c>
      <c r="D288">
        <f t="shared" si="17"/>
        <v>2.0942408376963352E-2</v>
      </c>
      <c r="E288">
        <f t="shared" si="18"/>
        <v>2.0942408376963352E-2</v>
      </c>
      <c r="F288">
        <f t="shared" si="19"/>
        <v>5.7591623036649213E-2</v>
      </c>
      <c r="G288">
        <f t="shared" si="20"/>
        <v>0.193717277486911</v>
      </c>
      <c r="H288">
        <f t="shared" si="21"/>
        <v>0.70680628272251311</v>
      </c>
      <c r="I288">
        <v>4</v>
      </c>
      <c r="J288">
        <v>4</v>
      </c>
      <c r="K288">
        <v>11</v>
      </c>
      <c r="L288">
        <v>37</v>
      </c>
      <c r="M288">
        <v>135</v>
      </c>
      <c r="N288">
        <f t="shared" si="16"/>
        <v>30.089005235602095</v>
      </c>
    </row>
    <row r="289" spans="1:14" x14ac:dyDescent="0.3">
      <c r="A289" t="s">
        <v>177</v>
      </c>
      <c r="B289" t="s">
        <v>31</v>
      </c>
      <c r="C289">
        <v>0</v>
      </c>
      <c r="D289">
        <f t="shared" si="17"/>
        <v>3.6199095022624438E-2</v>
      </c>
      <c r="E289">
        <f t="shared" si="18"/>
        <v>2.7149321266968326E-2</v>
      </c>
      <c r="F289">
        <f t="shared" si="19"/>
        <v>7.2398190045248875E-2</v>
      </c>
      <c r="G289">
        <f t="shared" si="20"/>
        <v>0.22624434389140272</v>
      </c>
      <c r="H289">
        <f t="shared" si="21"/>
        <v>0.63800904977375561</v>
      </c>
      <c r="I289">
        <v>8</v>
      </c>
      <c r="J289">
        <v>6</v>
      </c>
      <c r="K289">
        <v>16</v>
      </c>
      <c r="L289">
        <v>50</v>
      </c>
      <c r="M289">
        <v>141</v>
      </c>
      <c r="N289">
        <f t="shared" si="16"/>
        <v>29.805429864253391</v>
      </c>
    </row>
    <row r="290" spans="1:14" x14ac:dyDescent="0.3">
      <c r="A290" t="s">
        <v>177</v>
      </c>
      <c r="B290" t="s">
        <v>31</v>
      </c>
      <c r="C290">
        <v>0</v>
      </c>
      <c r="D290">
        <f t="shared" si="17"/>
        <v>0</v>
      </c>
      <c r="E290">
        <f t="shared" si="18"/>
        <v>2.7586206896551724E-2</v>
      </c>
      <c r="F290">
        <f t="shared" si="19"/>
        <v>0.12413793103448276</v>
      </c>
      <c r="G290">
        <f t="shared" si="20"/>
        <v>0.22758620689655173</v>
      </c>
      <c r="H290">
        <f t="shared" si="21"/>
        <v>0.62068965517241381</v>
      </c>
      <c r="I290">
        <v>0</v>
      </c>
      <c r="J290">
        <v>4</v>
      </c>
      <c r="K290">
        <v>18</v>
      </c>
      <c r="L290">
        <v>33</v>
      </c>
      <c r="M290">
        <v>90</v>
      </c>
      <c r="N290">
        <f t="shared" si="16"/>
        <v>29.882758620689657</v>
      </c>
    </row>
    <row r="291" spans="1:14" x14ac:dyDescent="0.3">
      <c r="A291" t="s">
        <v>177</v>
      </c>
      <c r="B291" t="s">
        <v>31</v>
      </c>
      <c r="C291">
        <v>0</v>
      </c>
      <c r="D291">
        <f t="shared" si="17"/>
        <v>3.4749034749034749E-2</v>
      </c>
      <c r="E291">
        <f t="shared" si="18"/>
        <v>4.633204633204633E-2</v>
      </c>
      <c r="F291">
        <f t="shared" si="19"/>
        <v>9.2664092664092659E-2</v>
      </c>
      <c r="G291">
        <f t="shared" si="20"/>
        <v>0.19691119691119691</v>
      </c>
      <c r="H291">
        <f t="shared" si="21"/>
        <v>0.62934362934362931</v>
      </c>
      <c r="I291">
        <v>9</v>
      </c>
      <c r="J291">
        <v>12</v>
      </c>
      <c r="K291">
        <v>24</v>
      </c>
      <c r="L291">
        <v>51</v>
      </c>
      <c r="M291">
        <v>163</v>
      </c>
      <c r="N291">
        <f t="shared" si="16"/>
        <v>29.679536679536678</v>
      </c>
    </row>
    <row r="292" spans="1:14" x14ac:dyDescent="0.3">
      <c r="A292" t="s">
        <v>163</v>
      </c>
      <c r="B292" t="s">
        <v>149</v>
      </c>
      <c r="C292">
        <v>0</v>
      </c>
      <c r="D292">
        <f t="shared" si="17"/>
        <v>0.1043478260869565</v>
      </c>
      <c r="E292">
        <f t="shared" si="18"/>
        <v>0.89565217391304341</v>
      </c>
      <c r="F292">
        <f t="shared" si="19"/>
        <v>0</v>
      </c>
      <c r="G292">
        <f t="shared" si="20"/>
        <v>0</v>
      </c>
      <c r="H292">
        <f t="shared" si="21"/>
        <v>0</v>
      </c>
      <c r="I292">
        <v>2.76</v>
      </c>
      <c r="J292">
        <v>23.69</v>
      </c>
      <c r="K292">
        <v>0</v>
      </c>
      <c r="L292">
        <v>0</v>
      </c>
      <c r="M292">
        <v>0</v>
      </c>
      <c r="N292">
        <f t="shared" si="16"/>
        <v>24.791304347826088</v>
      </c>
    </row>
    <row r="293" spans="1:14" x14ac:dyDescent="0.3">
      <c r="A293" t="s">
        <v>171</v>
      </c>
      <c r="B293" t="s">
        <v>15</v>
      </c>
      <c r="C293">
        <v>0</v>
      </c>
      <c r="D293">
        <f t="shared" si="17"/>
        <v>4.1493775933609959E-3</v>
      </c>
      <c r="E293">
        <f t="shared" si="18"/>
        <v>6.2240663900414933E-3</v>
      </c>
      <c r="F293">
        <f t="shared" si="19"/>
        <v>1.4522821576763486E-2</v>
      </c>
      <c r="G293">
        <f t="shared" si="20"/>
        <v>0.60165975103734437</v>
      </c>
      <c r="H293">
        <f t="shared" si="21"/>
        <v>0.37344398340248963</v>
      </c>
      <c r="I293">
        <v>2</v>
      </c>
      <c r="J293">
        <v>3</v>
      </c>
      <c r="K293">
        <v>7</v>
      </c>
      <c r="L293">
        <v>290</v>
      </c>
      <c r="M293">
        <v>180</v>
      </c>
      <c r="N293">
        <f t="shared" si="16"/>
        <v>29.668049792531122</v>
      </c>
    </row>
    <row r="294" spans="1:14" x14ac:dyDescent="0.3">
      <c r="A294" t="s">
        <v>133</v>
      </c>
      <c r="B294" t="s">
        <v>15</v>
      </c>
      <c r="C294">
        <v>0</v>
      </c>
      <c r="D294">
        <v>2.1721641190667742E-2</v>
      </c>
      <c r="E294">
        <v>3.2180209171359615E-2</v>
      </c>
      <c r="F294">
        <v>5.0683829444891394E-2</v>
      </c>
      <c r="G294">
        <v>0.78761061946902655</v>
      </c>
      <c r="H294">
        <v>0.10780370072405472</v>
      </c>
      <c r="I294">
        <v>0.27</v>
      </c>
      <c r="J294">
        <v>0.4</v>
      </c>
      <c r="K294">
        <v>0.63</v>
      </c>
      <c r="L294">
        <v>9.7899999999999991</v>
      </c>
      <c r="M294">
        <v>1.34</v>
      </c>
      <c r="N294">
        <f t="shared" si="16"/>
        <v>28.855189058728882</v>
      </c>
    </row>
    <row r="295" spans="1:14" x14ac:dyDescent="0.3">
      <c r="A295" t="s">
        <v>65</v>
      </c>
      <c r="B295" t="s">
        <v>31</v>
      </c>
      <c r="C295">
        <v>0</v>
      </c>
      <c r="D295">
        <v>0.10560681334279631</v>
      </c>
      <c r="E295">
        <v>0.26721078779276081</v>
      </c>
      <c r="F295">
        <v>0.33619588360539387</v>
      </c>
      <c r="G295">
        <v>0.12505322924059617</v>
      </c>
      <c r="H295">
        <v>0.16593328601845278</v>
      </c>
      <c r="I295">
        <v>14.88</v>
      </c>
      <c r="J295">
        <v>37.65</v>
      </c>
      <c r="K295">
        <v>47.37</v>
      </c>
      <c r="L295">
        <v>17.62</v>
      </c>
      <c r="M295">
        <v>23.38</v>
      </c>
      <c r="N295">
        <f t="shared" si="16"/>
        <v>26.956990773598292</v>
      </c>
    </row>
    <row r="296" spans="1:14" x14ac:dyDescent="0.3">
      <c r="A296" t="s">
        <v>66</v>
      </c>
      <c r="B296" t="s">
        <v>31</v>
      </c>
      <c r="C296">
        <v>0</v>
      </c>
      <c r="D296">
        <v>4.4862647163753121E-2</v>
      </c>
      <c r="E296">
        <v>5.1355690331787364E-2</v>
      </c>
      <c r="F296">
        <v>0.19766321798073491</v>
      </c>
      <c r="G296">
        <v>0.36348555119514808</v>
      </c>
      <c r="H296">
        <v>0.34263289332857655</v>
      </c>
      <c r="I296">
        <v>25.15</v>
      </c>
      <c r="J296">
        <v>28.79</v>
      </c>
      <c r="K296">
        <v>110.81</v>
      </c>
      <c r="L296">
        <v>203.77</v>
      </c>
      <c r="M296">
        <v>192.08</v>
      </c>
      <c r="N296">
        <f t="shared" si="16"/>
        <v>28.81534070638601</v>
      </c>
    </row>
    <row r="297" spans="1:14" x14ac:dyDescent="0.3">
      <c r="A297" t="s">
        <v>67</v>
      </c>
      <c r="B297" t="s">
        <v>22</v>
      </c>
      <c r="C297">
        <v>0</v>
      </c>
      <c r="D297">
        <v>0.55588718101775847</v>
      </c>
      <c r="E297">
        <v>0.15161916131920608</v>
      </c>
      <c r="F297">
        <v>0.12893597970452172</v>
      </c>
      <c r="G297">
        <v>0.10595433517385464</v>
      </c>
      <c r="H297">
        <v>5.7603342784658999E-2</v>
      </c>
      <c r="I297">
        <v>37.25</v>
      </c>
      <c r="J297">
        <v>10.16</v>
      </c>
      <c r="K297">
        <v>8.64</v>
      </c>
      <c r="L297">
        <v>7.1</v>
      </c>
      <c r="M297">
        <v>3.86</v>
      </c>
      <c r="N297">
        <f t="shared" si="16"/>
        <v>24.915534994776898</v>
      </c>
    </row>
    <row r="298" spans="1:14" x14ac:dyDescent="0.3">
      <c r="A298" t="s">
        <v>67</v>
      </c>
      <c r="B298" t="s">
        <v>22</v>
      </c>
      <c r="C298">
        <v>0</v>
      </c>
      <c r="D298">
        <v>0.18433818433818436</v>
      </c>
      <c r="E298">
        <v>0.24116424116424115</v>
      </c>
      <c r="F298">
        <v>0.33344883344883347</v>
      </c>
      <c r="G298">
        <v>0.20524370524370525</v>
      </c>
      <c r="H298">
        <v>3.5805035805035808E-2</v>
      </c>
      <c r="I298">
        <v>15.96</v>
      </c>
      <c r="J298">
        <v>20.88</v>
      </c>
      <c r="K298">
        <v>28.87</v>
      </c>
      <c r="L298">
        <v>17.77</v>
      </c>
      <c r="M298">
        <v>3.1</v>
      </c>
      <c r="N298">
        <f t="shared" si="16"/>
        <v>26.334026334026326</v>
      </c>
    </row>
    <row r="299" spans="1:14" x14ac:dyDescent="0.3">
      <c r="A299" t="s">
        <v>67</v>
      </c>
      <c r="B299" t="s">
        <v>22</v>
      </c>
      <c r="C299">
        <v>0</v>
      </c>
      <c r="D299">
        <v>0.50335280121133463</v>
      </c>
      <c r="E299">
        <v>0.21133463119186677</v>
      </c>
      <c r="F299">
        <v>0.14709063378758383</v>
      </c>
      <c r="G299">
        <v>0.10058403634003896</v>
      </c>
      <c r="H299">
        <v>3.7637897469175861E-2</v>
      </c>
      <c r="I299">
        <v>23.27</v>
      </c>
      <c r="J299">
        <v>9.77</v>
      </c>
      <c r="K299">
        <v>6.8</v>
      </c>
      <c r="L299">
        <v>4.6500000000000004</v>
      </c>
      <c r="M299">
        <v>1.74</v>
      </c>
      <c r="N299">
        <f t="shared" si="16"/>
        <v>24.915639195327707</v>
      </c>
    </row>
    <row r="300" spans="1:14" x14ac:dyDescent="0.3">
      <c r="A300" t="s">
        <v>68</v>
      </c>
      <c r="B300" t="s">
        <v>15</v>
      </c>
      <c r="C300">
        <v>0</v>
      </c>
      <c r="D300">
        <v>1.5446005804185124E-2</v>
      </c>
      <c r="E300">
        <v>4.4065984420345192E-2</v>
      </c>
      <c r="F300">
        <v>0.20305101573239651</v>
      </c>
      <c r="G300">
        <v>0.69986253245761421</v>
      </c>
      <c r="H300">
        <v>3.757446158545899E-2</v>
      </c>
      <c r="I300">
        <v>8.09</v>
      </c>
      <c r="J300">
        <v>23.08</v>
      </c>
      <c r="K300">
        <v>106.35</v>
      </c>
      <c r="L300">
        <v>366.56</v>
      </c>
      <c r="M300">
        <v>19.68</v>
      </c>
      <c r="N300">
        <f t="shared" si="16"/>
        <v>28.400106919199636</v>
      </c>
    </row>
    <row r="301" spans="1:14" x14ac:dyDescent="0.3">
      <c r="A301" t="s">
        <v>154</v>
      </c>
      <c r="B301" t="s">
        <v>149</v>
      </c>
      <c r="C301">
        <v>0</v>
      </c>
      <c r="D301">
        <f t="shared" ref="D301:H302" si="22">I301/SUM($I301:$M301)</f>
        <v>0.43749552772808586</v>
      </c>
      <c r="E301">
        <f t="shared" si="22"/>
        <v>0.44522361359570661</v>
      </c>
      <c r="F301">
        <f t="shared" si="22"/>
        <v>0.11728085867620752</v>
      </c>
      <c r="G301">
        <f t="shared" si="22"/>
        <v>0</v>
      </c>
      <c r="H301">
        <f t="shared" si="22"/>
        <v>0</v>
      </c>
      <c r="I301">
        <v>61.14</v>
      </c>
      <c r="J301">
        <v>62.22</v>
      </c>
      <c r="K301">
        <v>16.39</v>
      </c>
      <c r="L301">
        <v>0</v>
      </c>
      <c r="M301">
        <v>0</v>
      </c>
      <c r="N301">
        <f t="shared" si="16"/>
        <v>24.359570661896242</v>
      </c>
    </row>
    <row r="302" spans="1:14" x14ac:dyDescent="0.3">
      <c r="A302" t="s">
        <v>158</v>
      </c>
      <c r="B302" t="s">
        <v>149</v>
      </c>
      <c r="C302">
        <v>0</v>
      </c>
      <c r="D302">
        <f t="shared" si="22"/>
        <v>1</v>
      </c>
      <c r="E302">
        <f t="shared" si="22"/>
        <v>0</v>
      </c>
      <c r="F302">
        <f t="shared" si="22"/>
        <v>0</v>
      </c>
      <c r="G302">
        <f t="shared" si="22"/>
        <v>0</v>
      </c>
      <c r="H302">
        <f t="shared" si="22"/>
        <v>0</v>
      </c>
      <c r="I302">
        <v>191.96</v>
      </c>
      <c r="J302">
        <v>0</v>
      </c>
      <c r="K302">
        <v>0</v>
      </c>
      <c r="L302">
        <v>0</v>
      </c>
      <c r="M302">
        <v>0</v>
      </c>
      <c r="N302">
        <f t="shared" si="16"/>
        <v>23</v>
      </c>
    </row>
    <row r="303" spans="1:14" x14ac:dyDescent="0.3">
      <c r="A303" t="s">
        <v>69</v>
      </c>
      <c r="B303" t="s">
        <v>13</v>
      </c>
      <c r="C303">
        <v>0</v>
      </c>
      <c r="D303">
        <v>0.25602110554851576</v>
      </c>
      <c r="E303">
        <v>8.5639502274662965E-2</v>
      </c>
      <c r="F303">
        <v>4.2958931427740508E-2</v>
      </c>
      <c r="G303">
        <v>0.39350215002388916</v>
      </c>
      <c r="H303">
        <v>0.22187831072519162</v>
      </c>
      <c r="I303">
        <v>616.23</v>
      </c>
      <c r="J303">
        <v>206.13</v>
      </c>
      <c r="K303">
        <v>103.4</v>
      </c>
      <c r="L303">
        <v>947.14</v>
      </c>
      <c r="M303">
        <v>534.04999999999995</v>
      </c>
      <c r="N303">
        <f t="shared" si="16"/>
        <v>27.479154116205155</v>
      </c>
    </row>
    <row r="304" spans="1:14" x14ac:dyDescent="0.3">
      <c r="A304" t="s">
        <v>69</v>
      </c>
      <c r="B304" t="s">
        <v>13</v>
      </c>
      <c r="C304">
        <v>0</v>
      </c>
      <c r="D304">
        <v>0.23443805960176398</v>
      </c>
      <c r="E304">
        <v>0.11012962715488439</v>
      </c>
      <c r="F304">
        <v>8.1932380061472673E-2</v>
      </c>
      <c r="G304">
        <v>0.3649204864359214</v>
      </c>
      <c r="H304">
        <v>0.20857944674595749</v>
      </c>
      <c r="I304">
        <v>175.43</v>
      </c>
      <c r="J304">
        <v>82.41</v>
      </c>
      <c r="K304">
        <v>61.31</v>
      </c>
      <c r="L304">
        <v>273.07</v>
      </c>
      <c r="M304">
        <v>156.08000000000001</v>
      </c>
      <c r="N304">
        <f t="shared" si="16"/>
        <v>27.406147267138849</v>
      </c>
    </row>
    <row r="305" spans="1:14" x14ac:dyDescent="0.3">
      <c r="A305" t="s">
        <v>69</v>
      </c>
      <c r="B305" t="s">
        <v>13</v>
      </c>
      <c r="C305">
        <v>0</v>
      </c>
      <c r="D305">
        <v>0.20067123207946144</v>
      </c>
      <c r="E305">
        <v>9.0073137136981785E-2</v>
      </c>
      <c r="F305">
        <v>8.4544202378411926E-2</v>
      </c>
      <c r="G305">
        <v>0.38882961181058062</v>
      </c>
      <c r="H305">
        <v>0.23588181659456417</v>
      </c>
      <c r="I305">
        <v>103.44</v>
      </c>
      <c r="J305">
        <v>46.43</v>
      </c>
      <c r="K305">
        <v>43.58</v>
      </c>
      <c r="L305">
        <v>200.43</v>
      </c>
      <c r="M305">
        <v>121.59</v>
      </c>
      <c r="N305">
        <f t="shared" si="16"/>
        <v>27.738355287407607</v>
      </c>
    </row>
    <row r="306" spans="1:14" x14ac:dyDescent="0.3">
      <c r="A306" t="s">
        <v>121</v>
      </c>
      <c r="B306" t="s">
        <v>15</v>
      </c>
      <c r="C306">
        <v>0</v>
      </c>
      <c r="D306">
        <v>0</v>
      </c>
      <c r="E306">
        <v>0</v>
      </c>
      <c r="F306">
        <v>5.1351607103428704E-2</v>
      </c>
      <c r="G306">
        <v>0.59205753398731986</v>
      </c>
      <c r="H306">
        <v>0.35659085890925152</v>
      </c>
      <c r="I306">
        <v>0</v>
      </c>
      <c r="J306">
        <v>0</v>
      </c>
      <c r="K306">
        <v>16.28</v>
      </c>
      <c r="L306">
        <v>187.7</v>
      </c>
      <c r="M306">
        <v>113.05</v>
      </c>
      <c r="N306">
        <f t="shared" si="16"/>
        <v>29.610478503611645</v>
      </c>
    </row>
    <row r="307" spans="1:14" x14ac:dyDescent="0.3">
      <c r="A307" t="s">
        <v>156</v>
      </c>
      <c r="B307" t="s">
        <v>149</v>
      </c>
      <c r="C307">
        <v>0</v>
      </c>
      <c r="D307">
        <f>I307/SUM($I307:$M307)</f>
        <v>1</v>
      </c>
      <c r="E307">
        <f>J307/SUM($I307:$M307)</f>
        <v>0</v>
      </c>
      <c r="F307">
        <f>K307/SUM($I307:$M307)</f>
        <v>0</v>
      </c>
      <c r="G307">
        <f>L307/SUM($I307:$M307)</f>
        <v>0</v>
      </c>
      <c r="H307">
        <f>M307/SUM($I307:$M307)</f>
        <v>0</v>
      </c>
      <c r="I307">
        <v>2.84</v>
      </c>
      <c r="J307">
        <v>0</v>
      </c>
      <c r="K307">
        <v>0</v>
      </c>
      <c r="L307">
        <v>0</v>
      </c>
      <c r="M307">
        <v>0</v>
      </c>
      <c r="N307">
        <f t="shared" si="16"/>
        <v>23</v>
      </c>
    </row>
    <row r="308" spans="1:14" x14ac:dyDescent="0.3">
      <c r="A308" t="s">
        <v>70</v>
      </c>
      <c r="B308" t="s">
        <v>31</v>
      </c>
      <c r="C308">
        <v>0</v>
      </c>
      <c r="D308">
        <v>0.16676399691856564</v>
      </c>
      <c r="E308">
        <v>0.2803421883153997</v>
      </c>
      <c r="F308">
        <v>0.14948062920901567</v>
      </c>
      <c r="G308">
        <v>0.13392435575656667</v>
      </c>
      <c r="H308">
        <v>0.26948882980045225</v>
      </c>
      <c r="I308">
        <v>268.43</v>
      </c>
      <c r="J308">
        <v>451.25</v>
      </c>
      <c r="K308">
        <v>240.61</v>
      </c>
      <c r="L308">
        <v>215.57</v>
      </c>
      <c r="M308">
        <v>433.78</v>
      </c>
      <c r="N308">
        <f t="shared" si="16"/>
        <v>27.118063666409881</v>
      </c>
    </row>
    <row r="309" spans="1:14" x14ac:dyDescent="0.3">
      <c r="A309" t="s">
        <v>70</v>
      </c>
      <c r="B309" t="s">
        <v>31</v>
      </c>
      <c r="C309">
        <v>0</v>
      </c>
      <c r="D309">
        <v>0.10224654377880184</v>
      </c>
      <c r="E309">
        <v>0.29694700460829493</v>
      </c>
      <c r="F309">
        <v>0.14919354838709678</v>
      </c>
      <c r="G309">
        <v>0.13738479262672809</v>
      </c>
      <c r="H309">
        <v>0.31422811059907835</v>
      </c>
      <c r="I309">
        <v>3.55</v>
      </c>
      <c r="J309">
        <v>10.31</v>
      </c>
      <c r="K309">
        <v>5.18</v>
      </c>
      <c r="L309">
        <v>4.7699999999999996</v>
      </c>
      <c r="M309">
        <v>10.91</v>
      </c>
      <c r="N309">
        <f t="shared" si="16"/>
        <v>27.528801843317972</v>
      </c>
    </row>
    <row r="310" spans="1:14" x14ac:dyDescent="0.3">
      <c r="A310" t="s">
        <v>71</v>
      </c>
      <c r="B310" t="s">
        <v>16</v>
      </c>
      <c r="C310">
        <v>0</v>
      </c>
      <c r="D310">
        <v>0.53001091305929438</v>
      </c>
      <c r="E310">
        <v>5.5656602400873049E-2</v>
      </c>
      <c r="F310">
        <v>5.5292833757730087E-2</v>
      </c>
      <c r="G310">
        <v>0.14514368861404148</v>
      </c>
      <c r="H310">
        <v>0.21389596216806112</v>
      </c>
      <c r="I310">
        <v>14.57</v>
      </c>
      <c r="J310">
        <v>1.53</v>
      </c>
      <c r="K310">
        <v>1.52</v>
      </c>
      <c r="L310">
        <v>3.99</v>
      </c>
      <c r="M310">
        <v>5.88</v>
      </c>
      <c r="N310">
        <f t="shared" si="16"/>
        <v>25.914514368861408</v>
      </c>
    </row>
    <row r="311" spans="1:14" x14ac:dyDescent="0.3">
      <c r="A311" t="s">
        <v>71</v>
      </c>
      <c r="B311" t="s">
        <v>16</v>
      </c>
      <c r="C311">
        <v>0</v>
      </c>
      <c r="D311">
        <v>0.12247690728703386</v>
      </c>
      <c r="E311">
        <v>5.8159425248032838E-2</v>
      </c>
      <c r="F311">
        <v>4.6527540198426275E-2</v>
      </c>
      <c r="G311">
        <v>0.61991105029079718</v>
      </c>
      <c r="H311">
        <v>0.15292507697570987</v>
      </c>
      <c r="I311">
        <v>3.58</v>
      </c>
      <c r="J311">
        <v>1.7</v>
      </c>
      <c r="K311">
        <v>1.36</v>
      </c>
      <c r="L311">
        <v>18.12</v>
      </c>
      <c r="M311">
        <v>4.47</v>
      </c>
      <c r="N311">
        <f t="shared" si="16"/>
        <v>28.245295928840235</v>
      </c>
    </row>
    <row r="312" spans="1:14" x14ac:dyDescent="0.3">
      <c r="A312" t="s">
        <v>71</v>
      </c>
      <c r="B312" t="s">
        <v>16</v>
      </c>
      <c r="C312">
        <v>0</v>
      </c>
      <c r="D312">
        <v>0.16398713826366557</v>
      </c>
      <c r="E312">
        <v>7.2025723472668821E-2</v>
      </c>
      <c r="F312">
        <v>8.1028938906752404E-2</v>
      </c>
      <c r="G312">
        <v>0.51318327974276523</v>
      </c>
      <c r="H312">
        <v>0.16977491961414792</v>
      </c>
      <c r="I312">
        <v>2.5499999999999998</v>
      </c>
      <c r="J312">
        <v>1.1200000000000001</v>
      </c>
      <c r="K312">
        <v>1.26</v>
      </c>
      <c r="L312">
        <v>7.98</v>
      </c>
      <c r="M312">
        <v>2.64</v>
      </c>
      <c r="N312">
        <f t="shared" si="16"/>
        <v>27.905466237942122</v>
      </c>
    </row>
    <row r="313" spans="1:14" x14ac:dyDescent="0.3">
      <c r="A313" t="s">
        <v>122</v>
      </c>
      <c r="B313" t="s">
        <v>16</v>
      </c>
      <c r="C313">
        <v>0</v>
      </c>
      <c r="D313">
        <v>0.11027756939234808</v>
      </c>
      <c r="E313">
        <v>0.24381095273818451</v>
      </c>
      <c r="F313">
        <v>0.28469617404351083</v>
      </c>
      <c r="G313">
        <v>0.20742685671417851</v>
      </c>
      <c r="H313">
        <v>0.15378844711177792</v>
      </c>
      <c r="I313">
        <v>2.94</v>
      </c>
      <c r="J313">
        <v>6.5</v>
      </c>
      <c r="K313">
        <v>7.59</v>
      </c>
      <c r="L313">
        <v>5.53</v>
      </c>
      <c r="M313">
        <v>4.0999999999999996</v>
      </c>
      <c r="N313">
        <f t="shared" si="16"/>
        <v>27.10127531882971</v>
      </c>
    </row>
    <row r="314" spans="1:14" x14ac:dyDescent="0.3">
      <c r="A314" t="s">
        <v>122</v>
      </c>
      <c r="B314" t="s">
        <v>16</v>
      </c>
      <c r="C314">
        <v>0</v>
      </c>
      <c r="D314">
        <v>0.16953420058749477</v>
      </c>
      <c r="E314">
        <v>0.18757868233319347</v>
      </c>
      <c r="F314">
        <v>0.20184641208560639</v>
      </c>
      <c r="G314">
        <v>0.29920268569030634</v>
      </c>
      <c r="H314">
        <v>0.14183801930339909</v>
      </c>
      <c r="I314">
        <v>4.04</v>
      </c>
      <c r="J314">
        <v>4.47</v>
      </c>
      <c r="K314">
        <v>4.8099999999999996</v>
      </c>
      <c r="L314">
        <v>7.13</v>
      </c>
      <c r="M314">
        <v>3.38</v>
      </c>
      <c r="N314">
        <f t="shared" si="16"/>
        <v>27.112463281577842</v>
      </c>
    </row>
    <row r="315" spans="1:14" x14ac:dyDescent="0.3">
      <c r="A315" t="s">
        <v>123</v>
      </c>
      <c r="B315" t="s">
        <v>16</v>
      </c>
      <c r="C315" t="s">
        <v>15</v>
      </c>
      <c r="D315">
        <v>5.7448880233690353E-2</v>
      </c>
      <c r="E315">
        <v>0.16747809152872442</v>
      </c>
      <c r="F315">
        <v>0.42161635832521904</v>
      </c>
      <c r="G315">
        <v>0.22590068159688409</v>
      </c>
      <c r="H315">
        <v>0.12755598831548198</v>
      </c>
      <c r="I315">
        <v>0.59</v>
      </c>
      <c r="J315">
        <v>1.72</v>
      </c>
      <c r="K315">
        <v>4.33</v>
      </c>
      <c r="L315">
        <v>2.3199999999999998</v>
      </c>
      <c r="M315">
        <v>1.31</v>
      </c>
      <c r="N315">
        <f t="shared" si="16"/>
        <v>27.39727361246349</v>
      </c>
    </row>
    <row r="316" spans="1:14" x14ac:dyDescent="0.3">
      <c r="A316" t="s">
        <v>124</v>
      </c>
      <c r="B316" t="s">
        <v>16</v>
      </c>
      <c r="C316">
        <v>0</v>
      </c>
      <c r="D316">
        <v>0.18532929816976509</v>
      </c>
      <c r="E316">
        <v>0.24801844646202623</v>
      </c>
      <c r="F316">
        <v>0.16601815823605706</v>
      </c>
      <c r="G316">
        <v>0.17552961521833116</v>
      </c>
      <c r="H316">
        <v>0.22510448191382043</v>
      </c>
      <c r="I316">
        <v>12.86</v>
      </c>
      <c r="J316">
        <v>17.21</v>
      </c>
      <c r="K316">
        <v>11.52</v>
      </c>
      <c r="L316">
        <v>12.18</v>
      </c>
      <c r="M316">
        <v>15.62</v>
      </c>
      <c r="N316">
        <f t="shared" si="16"/>
        <v>27.014123072488829</v>
      </c>
    </row>
    <row r="317" spans="1:14" x14ac:dyDescent="0.3">
      <c r="A317" t="s">
        <v>124</v>
      </c>
      <c r="B317" t="s">
        <v>16</v>
      </c>
      <c r="C317">
        <v>0</v>
      </c>
      <c r="D317">
        <v>0</v>
      </c>
      <c r="E317">
        <v>0</v>
      </c>
      <c r="F317">
        <v>0.140917905623788</v>
      </c>
      <c r="G317">
        <v>0.1900452488687783</v>
      </c>
      <c r="H317">
        <v>0.66903684550743381</v>
      </c>
      <c r="I317">
        <v>0</v>
      </c>
      <c r="J317">
        <v>0</v>
      </c>
      <c r="K317">
        <v>2.1800000000000002</v>
      </c>
      <c r="L317">
        <v>2.94</v>
      </c>
      <c r="M317">
        <v>10.35</v>
      </c>
      <c r="N317">
        <f t="shared" si="16"/>
        <v>30.056237879767295</v>
      </c>
    </row>
    <row r="318" spans="1:14" x14ac:dyDescent="0.3">
      <c r="A318" t="s">
        <v>124</v>
      </c>
      <c r="B318" t="s">
        <v>16</v>
      </c>
      <c r="C318">
        <v>0</v>
      </c>
      <c r="D318">
        <v>0.22842975206611571</v>
      </c>
      <c r="E318">
        <v>0.15867768595041321</v>
      </c>
      <c r="F318">
        <v>0.12330578512396694</v>
      </c>
      <c r="G318">
        <v>0.26347107438016526</v>
      </c>
      <c r="H318">
        <v>0.22611570247933885</v>
      </c>
      <c r="I318">
        <v>6.91</v>
      </c>
      <c r="J318">
        <v>4.8</v>
      </c>
      <c r="K318">
        <v>3.73</v>
      </c>
      <c r="L318">
        <v>7.97</v>
      </c>
      <c r="M318">
        <v>6.84</v>
      </c>
      <c r="N318">
        <f t="shared" si="16"/>
        <v>27.200330578512396</v>
      </c>
    </row>
    <row r="319" spans="1:14" x14ac:dyDescent="0.3">
      <c r="A319" t="s">
        <v>124</v>
      </c>
      <c r="B319" t="s">
        <v>16</v>
      </c>
      <c r="C319">
        <v>0</v>
      </c>
      <c r="D319">
        <v>0.11940298507462688</v>
      </c>
      <c r="E319">
        <v>0.16791044776119404</v>
      </c>
      <c r="F319">
        <v>0.16417910447761197</v>
      </c>
      <c r="G319">
        <v>0.22014925373134331</v>
      </c>
      <c r="H319">
        <v>0.32835820895522394</v>
      </c>
      <c r="I319">
        <v>0.32</v>
      </c>
      <c r="J319">
        <v>0.45</v>
      </c>
      <c r="K319">
        <v>0.44</v>
      </c>
      <c r="L319">
        <v>0.59</v>
      </c>
      <c r="M319">
        <v>0.88</v>
      </c>
      <c r="N319">
        <f t="shared" si="16"/>
        <v>27.940298507462693</v>
      </c>
    </row>
    <row r="320" spans="1:14" x14ac:dyDescent="0.3">
      <c r="A320" t="s">
        <v>125</v>
      </c>
      <c r="B320" t="s">
        <v>16</v>
      </c>
      <c r="C320">
        <v>0</v>
      </c>
      <c r="D320">
        <v>5.9032716927453766E-2</v>
      </c>
      <c r="E320">
        <v>0.10881934566145092</v>
      </c>
      <c r="F320">
        <v>0.21301564722617355</v>
      </c>
      <c r="G320">
        <v>0.38549075391180654</v>
      </c>
      <c r="H320">
        <v>0.23364153627311524</v>
      </c>
      <c r="I320">
        <v>1.66</v>
      </c>
      <c r="J320">
        <v>3.06</v>
      </c>
      <c r="K320">
        <v>5.99</v>
      </c>
      <c r="L320">
        <v>10.84</v>
      </c>
      <c r="M320">
        <v>6.57</v>
      </c>
      <c r="N320">
        <f t="shared" si="16"/>
        <v>28.251778093883356</v>
      </c>
    </row>
    <row r="321" spans="1:14" x14ac:dyDescent="0.3">
      <c r="A321" t="s">
        <v>125</v>
      </c>
      <c r="B321" t="s">
        <v>16</v>
      </c>
      <c r="C321">
        <v>0</v>
      </c>
      <c r="D321">
        <v>0.16256601829189746</v>
      </c>
      <c r="E321">
        <v>0.26780883678990081</v>
      </c>
      <c r="F321">
        <v>0.33943063248744049</v>
      </c>
      <c r="G321">
        <v>0.17544763622310963</v>
      </c>
      <c r="H321">
        <v>5.4746876207651687E-2</v>
      </c>
      <c r="I321">
        <v>12.62</v>
      </c>
      <c r="J321">
        <v>20.79</v>
      </c>
      <c r="K321">
        <v>26.35</v>
      </c>
      <c r="L321">
        <v>13.62</v>
      </c>
      <c r="M321">
        <v>4.25</v>
      </c>
      <c r="N321">
        <f t="shared" si="16"/>
        <v>26.384001030529433</v>
      </c>
    </row>
    <row r="322" spans="1:14" x14ac:dyDescent="0.3">
      <c r="A322" t="s">
        <v>125</v>
      </c>
      <c r="B322" t="s">
        <v>16</v>
      </c>
      <c r="C322">
        <v>0</v>
      </c>
      <c r="D322">
        <v>0.10222412318220701</v>
      </c>
      <c r="E322">
        <v>0.17065868263473052</v>
      </c>
      <c r="F322">
        <v>0.2621899059024807</v>
      </c>
      <c r="G322">
        <v>0.31608212147134296</v>
      </c>
      <c r="H322">
        <v>0.14884516680923865</v>
      </c>
      <c r="I322">
        <v>2.39</v>
      </c>
      <c r="J322">
        <v>3.99</v>
      </c>
      <c r="K322">
        <v>6.13</v>
      </c>
      <c r="L322">
        <v>7.39</v>
      </c>
      <c r="M322">
        <v>3.48</v>
      </c>
      <c r="N322">
        <f t="shared" si="16"/>
        <v>27.477331052181352</v>
      </c>
    </row>
    <row r="323" spans="1:14" x14ac:dyDescent="0.3">
      <c r="A323" t="s">
        <v>72</v>
      </c>
      <c r="B323" t="s">
        <v>22</v>
      </c>
      <c r="C323">
        <v>0</v>
      </c>
      <c r="D323">
        <v>0.29913732804849613</v>
      </c>
      <c r="E323">
        <v>0.22825833527628817</v>
      </c>
      <c r="F323">
        <v>0.20657495919794822</v>
      </c>
      <c r="G323">
        <v>0.15714618792259269</v>
      </c>
      <c r="H323">
        <v>0.10888318955467474</v>
      </c>
      <c r="I323">
        <v>12.83</v>
      </c>
      <c r="J323">
        <v>9.7899999999999991</v>
      </c>
      <c r="K323">
        <v>8.86</v>
      </c>
      <c r="L323">
        <v>6.74</v>
      </c>
      <c r="M323">
        <v>4.67</v>
      </c>
      <c r="N323">
        <f t="shared" si="16"/>
        <v>26.096759151317322</v>
      </c>
    </row>
    <row r="324" spans="1:14" x14ac:dyDescent="0.3">
      <c r="A324" t="s">
        <v>73</v>
      </c>
      <c r="B324" t="s">
        <v>18</v>
      </c>
      <c r="C324">
        <v>0</v>
      </c>
      <c r="D324">
        <v>9.0990187332738639E-3</v>
      </c>
      <c r="E324">
        <v>1.1061552185548617E-2</v>
      </c>
      <c r="F324">
        <v>0.20374665477252454</v>
      </c>
      <c r="G324">
        <v>0.29045495093666374</v>
      </c>
      <c r="H324">
        <v>0.4856378233719893</v>
      </c>
      <c r="I324">
        <v>0.51</v>
      </c>
      <c r="J324">
        <v>0.62</v>
      </c>
      <c r="K324">
        <v>11.42</v>
      </c>
      <c r="L324">
        <v>16.28</v>
      </c>
      <c r="M324">
        <v>27.22</v>
      </c>
      <c r="N324">
        <f t="shared" si="16"/>
        <v>29.464942016057094</v>
      </c>
    </row>
    <row r="325" spans="1:14" x14ac:dyDescent="0.3">
      <c r="A325" t="s">
        <v>73</v>
      </c>
      <c r="B325" t="s">
        <v>18</v>
      </c>
      <c r="C325">
        <v>0</v>
      </c>
      <c r="D325">
        <v>2.2676683361157485E-2</v>
      </c>
      <c r="E325">
        <v>5.6483027267668337E-2</v>
      </c>
      <c r="F325">
        <v>0.49179187534780194</v>
      </c>
      <c r="G325">
        <v>0.19616026711185311</v>
      </c>
      <c r="H325">
        <v>0.23288814691151918</v>
      </c>
      <c r="I325">
        <v>1.63</v>
      </c>
      <c r="J325">
        <v>4.0599999999999996</v>
      </c>
      <c r="K325">
        <v>35.35</v>
      </c>
      <c r="L325">
        <v>14.1</v>
      </c>
      <c r="M325">
        <v>16.739999999999998</v>
      </c>
      <c r="N325">
        <f t="shared" ref="N325:N388" si="23">(D325*23+E325*25+F325*27+G325*29+H325*31)/SUM(D325:H325)</f>
        <v>28.120200333889819</v>
      </c>
    </row>
    <row r="326" spans="1:14" x14ac:dyDescent="0.3">
      <c r="A326" t="s">
        <v>73</v>
      </c>
      <c r="B326" t="s">
        <v>18</v>
      </c>
      <c r="C326">
        <v>0</v>
      </c>
      <c r="D326">
        <v>3.2741738066095476E-2</v>
      </c>
      <c r="E326">
        <v>2.8457772337821298E-2</v>
      </c>
      <c r="F326">
        <v>0.21052631578947367</v>
      </c>
      <c r="G326">
        <v>0.35067319461444313</v>
      </c>
      <c r="H326">
        <v>0.37760097919216645</v>
      </c>
      <c r="I326">
        <v>1.07</v>
      </c>
      <c r="J326">
        <v>0.93</v>
      </c>
      <c r="K326">
        <v>6.88</v>
      </c>
      <c r="L326">
        <v>11.46</v>
      </c>
      <c r="M326">
        <v>12.34</v>
      </c>
      <c r="N326">
        <f t="shared" si="23"/>
        <v>29.023867809057528</v>
      </c>
    </row>
    <row r="327" spans="1:14" x14ac:dyDescent="0.3">
      <c r="A327" t="s">
        <v>135</v>
      </c>
      <c r="B327" t="s">
        <v>31</v>
      </c>
      <c r="C327">
        <v>0</v>
      </c>
      <c r="D327">
        <v>4.9019607843137254E-2</v>
      </c>
      <c r="E327">
        <v>0.12121212121212122</v>
      </c>
      <c r="F327">
        <v>0.11319073083778966</v>
      </c>
      <c r="G327">
        <v>0.22905525846702318</v>
      </c>
      <c r="H327">
        <v>0.48752228163992872</v>
      </c>
      <c r="I327">
        <v>55</v>
      </c>
      <c r="J327">
        <v>136</v>
      </c>
      <c r="K327">
        <v>127</v>
      </c>
      <c r="L327">
        <v>257</v>
      </c>
      <c r="M327">
        <v>547</v>
      </c>
      <c r="N327">
        <f t="shared" si="23"/>
        <v>28.969696969696969</v>
      </c>
    </row>
    <row r="328" spans="1:14" x14ac:dyDescent="0.3">
      <c r="A328" t="s">
        <v>135</v>
      </c>
      <c r="B328" t="s">
        <v>31</v>
      </c>
      <c r="C328">
        <v>0</v>
      </c>
      <c r="D328">
        <v>1.3658536585365854E-2</v>
      </c>
      <c r="E328">
        <v>4.0975609756097563E-2</v>
      </c>
      <c r="F328">
        <v>0.2</v>
      </c>
      <c r="G328">
        <v>0.25853658536585367</v>
      </c>
      <c r="H328">
        <v>0.48682926829268292</v>
      </c>
      <c r="I328">
        <v>14</v>
      </c>
      <c r="J328">
        <v>42</v>
      </c>
      <c r="K328">
        <v>205</v>
      </c>
      <c r="L328">
        <v>265</v>
      </c>
      <c r="M328">
        <v>499</v>
      </c>
      <c r="N328">
        <f t="shared" si="23"/>
        <v>29.327804878048781</v>
      </c>
    </row>
    <row r="329" spans="1:14" x14ac:dyDescent="0.3">
      <c r="A329" t="s">
        <v>135</v>
      </c>
      <c r="B329" t="s">
        <v>31</v>
      </c>
      <c r="C329">
        <v>0</v>
      </c>
      <c r="D329">
        <v>7.1107128246089115E-3</v>
      </c>
      <c r="E329">
        <v>3.0624768658315642E-2</v>
      </c>
      <c r="F329">
        <v>6.5399076581403065E-2</v>
      </c>
      <c r="G329">
        <v>0.21059398803841733</v>
      </c>
      <c r="H329">
        <v>0.68627145389725508</v>
      </c>
      <c r="I329">
        <v>3.65</v>
      </c>
      <c r="J329">
        <v>15.72</v>
      </c>
      <c r="K329">
        <v>33.57</v>
      </c>
      <c r="L329">
        <v>108.1</v>
      </c>
      <c r="M329">
        <v>352.27</v>
      </c>
      <c r="N329">
        <f t="shared" si="23"/>
        <v>30.076581403050788</v>
      </c>
    </row>
    <row r="330" spans="1:14" x14ac:dyDescent="0.3">
      <c r="A330" t="s">
        <v>135</v>
      </c>
      <c r="B330" t="s">
        <v>31</v>
      </c>
      <c r="C330">
        <v>0</v>
      </c>
      <c r="D330">
        <v>1.9251321658093106E-2</v>
      </c>
      <c r="E330">
        <v>4.1438078002764438E-2</v>
      </c>
      <c r="F330">
        <v>7.0208187867819946E-2</v>
      </c>
      <c r="G330">
        <v>0.42569502828562067</v>
      </c>
      <c r="H330">
        <v>0.44340738418570191</v>
      </c>
      <c r="I330">
        <v>13.51</v>
      </c>
      <c r="J330">
        <v>29.08</v>
      </c>
      <c r="K330">
        <v>49.27</v>
      </c>
      <c r="L330">
        <v>298.74</v>
      </c>
      <c r="M330">
        <v>311.17</v>
      </c>
      <c r="N330">
        <f t="shared" si="23"/>
        <v>29.465138150676147</v>
      </c>
    </row>
    <row r="331" spans="1:14" x14ac:dyDescent="0.3">
      <c r="A331" t="s">
        <v>135</v>
      </c>
      <c r="B331" t="s">
        <v>31</v>
      </c>
      <c r="C331">
        <v>0</v>
      </c>
      <c r="D331">
        <v>1.055755570691836E-2</v>
      </c>
      <c r="E331">
        <v>2.225844117933249E-2</v>
      </c>
      <c r="F331">
        <v>9.2074535370244223E-2</v>
      </c>
      <c r="G331">
        <v>0.33363335603775418</v>
      </c>
      <c r="H331">
        <v>0.54147611170575061</v>
      </c>
      <c r="I331">
        <v>4.34</v>
      </c>
      <c r="J331">
        <v>9.15</v>
      </c>
      <c r="K331">
        <v>37.85</v>
      </c>
      <c r="L331">
        <v>137.15</v>
      </c>
      <c r="M331">
        <v>222.59</v>
      </c>
      <c r="N331">
        <f t="shared" si="23"/>
        <v>29.746424053712172</v>
      </c>
    </row>
    <row r="332" spans="1:14" x14ac:dyDescent="0.3">
      <c r="A332" t="s">
        <v>135</v>
      </c>
      <c r="B332" t="s">
        <v>31</v>
      </c>
      <c r="C332">
        <v>0</v>
      </c>
      <c r="D332">
        <v>0</v>
      </c>
      <c r="E332">
        <v>6.6666666666666666E-2</v>
      </c>
      <c r="F332">
        <v>6.6666666666666666E-2</v>
      </c>
      <c r="G332">
        <v>0.4</v>
      </c>
      <c r="H332">
        <v>0.46666666666666667</v>
      </c>
      <c r="I332">
        <v>0</v>
      </c>
      <c r="J332">
        <v>30</v>
      </c>
      <c r="K332">
        <v>30</v>
      </c>
      <c r="L332">
        <v>180</v>
      </c>
      <c r="M332">
        <v>210</v>
      </c>
      <c r="N332">
        <f t="shared" si="23"/>
        <v>29.533333333333335</v>
      </c>
    </row>
    <row r="333" spans="1:14" x14ac:dyDescent="0.3">
      <c r="A333" t="s">
        <v>135</v>
      </c>
      <c r="B333" t="s">
        <v>31</v>
      </c>
      <c r="C333">
        <v>0</v>
      </c>
      <c r="D333">
        <v>1.5305526346535812E-2</v>
      </c>
      <c r="E333">
        <v>4.3774584258285627E-2</v>
      </c>
      <c r="F333">
        <v>0.12489776843089147</v>
      </c>
      <c r="G333">
        <v>0.29150601705806756</v>
      </c>
      <c r="H333">
        <v>0.52451610390621961</v>
      </c>
      <c r="I333">
        <v>3.93</v>
      </c>
      <c r="J333">
        <v>11.24</v>
      </c>
      <c r="K333">
        <v>32.07</v>
      </c>
      <c r="L333">
        <v>74.849999999999994</v>
      </c>
      <c r="M333">
        <v>134.68</v>
      </c>
      <c r="N333">
        <f t="shared" si="23"/>
        <v>29.532305175838303</v>
      </c>
    </row>
    <row r="334" spans="1:14" x14ac:dyDescent="0.3">
      <c r="A334" t="s">
        <v>135</v>
      </c>
      <c r="B334" t="s">
        <v>31</v>
      </c>
      <c r="C334">
        <v>0</v>
      </c>
      <c r="D334">
        <v>1.5321390096955672E-2</v>
      </c>
      <c r="E334">
        <v>4.3410605274707741E-2</v>
      </c>
      <c r="F334">
        <v>0.1150301240873</v>
      </c>
      <c r="G334">
        <v>0.30072218010613255</v>
      </c>
      <c r="H334">
        <v>0.52551570043490403</v>
      </c>
      <c r="I334">
        <v>3.84</v>
      </c>
      <c r="J334">
        <v>10.88</v>
      </c>
      <c r="K334">
        <v>28.83</v>
      </c>
      <c r="L334">
        <v>75.37</v>
      </c>
      <c r="M334">
        <v>131.71</v>
      </c>
      <c r="N334">
        <f t="shared" si="23"/>
        <v>29.555400391014643</v>
      </c>
    </row>
    <row r="335" spans="1:14" x14ac:dyDescent="0.3">
      <c r="A335" t="s">
        <v>135</v>
      </c>
      <c r="B335" t="s">
        <v>31</v>
      </c>
      <c r="C335">
        <v>0</v>
      </c>
      <c r="D335">
        <v>0</v>
      </c>
      <c r="E335">
        <v>4.9180327868852458E-2</v>
      </c>
      <c r="F335">
        <v>4.9180327868852458E-2</v>
      </c>
      <c r="G335">
        <v>0.49180327868852458</v>
      </c>
      <c r="H335">
        <v>0.4098360655737705</v>
      </c>
      <c r="I335">
        <v>0</v>
      </c>
      <c r="J335">
        <v>15</v>
      </c>
      <c r="K335">
        <v>15</v>
      </c>
      <c r="L335">
        <v>150</v>
      </c>
      <c r="M335">
        <v>125</v>
      </c>
      <c r="N335">
        <f t="shared" si="23"/>
        <v>29.524590163934427</v>
      </c>
    </row>
    <row r="336" spans="1:14" x14ac:dyDescent="0.3">
      <c r="A336" t="s">
        <v>135</v>
      </c>
      <c r="B336" t="s">
        <v>31</v>
      </c>
      <c r="C336">
        <v>0</v>
      </c>
      <c r="D336">
        <v>2.0899611170024746E-2</v>
      </c>
      <c r="E336">
        <v>4.3301519971721464E-2</v>
      </c>
      <c r="F336">
        <v>0.13317426652527395</v>
      </c>
      <c r="G336">
        <v>0.27810180275715801</v>
      </c>
      <c r="H336">
        <v>0.52452279957582182</v>
      </c>
      <c r="I336">
        <v>4.7300000000000004</v>
      </c>
      <c r="J336">
        <v>9.8000000000000007</v>
      </c>
      <c r="K336">
        <v>30.14</v>
      </c>
      <c r="L336">
        <v>62.94</v>
      </c>
      <c r="M336">
        <v>118.71</v>
      </c>
      <c r="N336">
        <f t="shared" si="23"/>
        <v>29.484093319194059</v>
      </c>
    </row>
    <row r="337" spans="1:14" x14ac:dyDescent="0.3">
      <c r="A337" t="s">
        <v>135</v>
      </c>
      <c r="B337" t="s">
        <v>31</v>
      </c>
      <c r="C337">
        <v>0</v>
      </c>
      <c r="D337">
        <v>1.1067833866800355E-2</v>
      </c>
      <c r="E337">
        <v>4.0145000192819406E-2</v>
      </c>
      <c r="F337">
        <v>7.3695576722841383E-2</v>
      </c>
      <c r="G337">
        <v>0.5263584127106552</v>
      </c>
      <c r="H337">
        <v>0.34873317650688368</v>
      </c>
      <c r="I337">
        <v>2.87</v>
      </c>
      <c r="J337">
        <v>10.41</v>
      </c>
      <c r="K337">
        <v>19.11</v>
      </c>
      <c r="L337">
        <v>136.49</v>
      </c>
      <c r="M337">
        <v>90.43</v>
      </c>
      <c r="N337">
        <f t="shared" si="23"/>
        <v>29.323088195596007</v>
      </c>
    </row>
    <row r="338" spans="1:14" x14ac:dyDescent="0.3">
      <c r="A338" t="s">
        <v>135</v>
      </c>
      <c r="B338" t="s">
        <v>31</v>
      </c>
      <c r="C338">
        <v>0</v>
      </c>
      <c r="D338">
        <v>2.0964360587002098E-3</v>
      </c>
      <c r="E338">
        <v>6.0097833682739342E-3</v>
      </c>
      <c r="F338">
        <v>4.1649196366177497E-2</v>
      </c>
      <c r="G338">
        <v>0.33948287910552061</v>
      </c>
      <c r="H338">
        <v>0.61076170510132777</v>
      </c>
      <c r="I338">
        <v>0.15</v>
      </c>
      <c r="J338">
        <v>0.43</v>
      </c>
      <c r="K338">
        <v>2.98</v>
      </c>
      <c r="L338">
        <v>24.29</v>
      </c>
      <c r="M338">
        <v>43.7</v>
      </c>
      <c r="N338">
        <f t="shared" si="23"/>
        <v>30.101607267645004</v>
      </c>
    </row>
    <row r="339" spans="1:14" x14ac:dyDescent="0.3">
      <c r="A339" t="s">
        <v>135</v>
      </c>
      <c r="B339" t="s">
        <v>31</v>
      </c>
      <c r="C339">
        <v>0</v>
      </c>
      <c r="D339">
        <v>1.6919823110940205E-2</v>
      </c>
      <c r="E339">
        <v>3.5185541242068838E-2</v>
      </c>
      <c r="F339">
        <v>7.5946933282061146E-2</v>
      </c>
      <c r="G339">
        <v>0.16592962891751589</v>
      </c>
      <c r="H339">
        <v>0.70601807344741396</v>
      </c>
      <c r="I339">
        <v>0.88</v>
      </c>
      <c r="J339">
        <v>1.83</v>
      </c>
      <c r="K339">
        <v>3.95</v>
      </c>
      <c r="L339">
        <v>8.6300000000000008</v>
      </c>
      <c r="M339">
        <v>36.72</v>
      </c>
      <c r="N339">
        <f t="shared" si="23"/>
        <v>30.01788117669679</v>
      </c>
    </row>
    <row r="340" spans="1:14" x14ac:dyDescent="0.3">
      <c r="A340" t="s">
        <v>135</v>
      </c>
      <c r="B340" t="s">
        <v>31</v>
      </c>
      <c r="C340">
        <v>0</v>
      </c>
      <c r="D340">
        <v>6.2872628726287266E-2</v>
      </c>
      <c r="E340">
        <v>9.2140921409214094E-2</v>
      </c>
      <c r="F340">
        <v>0.17268292682926828</v>
      </c>
      <c r="G340">
        <v>0.27783197831978318</v>
      </c>
      <c r="H340">
        <v>0.39447154471544715</v>
      </c>
      <c r="I340">
        <v>5.8</v>
      </c>
      <c r="J340">
        <v>8.5</v>
      </c>
      <c r="K340">
        <v>15.93</v>
      </c>
      <c r="L340">
        <v>25.63</v>
      </c>
      <c r="M340">
        <v>36.39</v>
      </c>
      <c r="N340">
        <f t="shared" si="23"/>
        <v>28.697777777777773</v>
      </c>
    </row>
    <row r="341" spans="1:14" x14ac:dyDescent="0.3">
      <c r="A341" t="s">
        <v>135</v>
      </c>
      <c r="B341" t="s">
        <v>31</v>
      </c>
      <c r="C341">
        <v>0</v>
      </c>
      <c r="D341">
        <v>0.10672354255535244</v>
      </c>
      <c r="E341">
        <v>0.24216940889701405</v>
      </c>
      <c r="F341">
        <v>0.25699776559008736</v>
      </c>
      <c r="G341">
        <v>0.26573227706682917</v>
      </c>
      <c r="H341">
        <v>0.12837700589071707</v>
      </c>
      <c r="I341">
        <v>26.27</v>
      </c>
      <c r="J341">
        <v>59.61</v>
      </c>
      <c r="K341">
        <v>63.26</v>
      </c>
      <c r="L341">
        <v>65.41</v>
      </c>
      <c r="M341">
        <v>31.6</v>
      </c>
      <c r="N341">
        <f t="shared" si="23"/>
        <v>27.133739589681088</v>
      </c>
    </row>
    <row r="342" spans="1:14" x14ac:dyDescent="0.3">
      <c r="A342" t="s">
        <v>135</v>
      </c>
      <c r="B342" t="s">
        <v>31</v>
      </c>
      <c r="C342">
        <v>0</v>
      </c>
      <c r="D342">
        <v>8.4821428571428562E-2</v>
      </c>
      <c r="E342">
        <v>0.26582792207792205</v>
      </c>
      <c r="F342">
        <v>0.17464826839826839</v>
      </c>
      <c r="G342">
        <v>0.29369588744588743</v>
      </c>
      <c r="H342">
        <v>0.1810064935064935</v>
      </c>
      <c r="I342">
        <v>6.27</v>
      </c>
      <c r="J342">
        <v>19.649999999999999</v>
      </c>
      <c r="K342">
        <v>12.91</v>
      </c>
      <c r="L342">
        <v>21.71</v>
      </c>
      <c r="M342">
        <v>13.38</v>
      </c>
      <c r="N342">
        <f t="shared" si="23"/>
        <v>27.440476190476193</v>
      </c>
    </row>
    <row r="343" spans="1:14" x14ac:dyDescent="0.3">
      <c r="A343" t="s">
        <v>135</v>
      </c>
      <c r="B343" t="s">
        <v>31</v>
      </c>
      <c r="C343">
        <v>0</v>
      </c>
      <c r="D343">
        <v>4.1095890410958902E-2</v>
      </c>
      <c r="E343">
        <v>0.15560238847910079</v>
      </c>
      <c r="F343">
        <v>0.24095539164032317</v>
      </c>
      <c r="G343">
        <v>0.35159817351598172</v>
      </c>
      <c r="H343">
        <v>0.21074815595363541</v>
      </c>
      <c r="I343">
        <v>1.17</v>
      </c>
      <c r="J343">
        <v>4.43</v>
      </c>
      <c r="K343">
        <v>6.86</v>
      </c>
      <c r="L343">
        <v>10.01</v>
      </c>
      <c r="M343">
        <v>6</v>
      </c>
      <c r="N343">
        <f t="shared" si="23"/>
        <v>28.070600632244471</v>
      </c>
    </row>
    <row r="344" spans="1:14" x14ac:dyDescent="0.3">
      <c r="A344" t="s">
        <v>135</v>
      </c>
      <c r="B344" t="s">
        <v>31</v>
      </c>
      <c r="C344">
        <v>0</v>
      </c>
      <c r="D344">
        <v>3.0327868852459017E-2</v>
      </c>
      <c r="E344">
        <v>7.4590163934426232E-2</v>
      </c>
      <c r="F344">
        <v>0.40655737704918032</v>
      </c>
      <c r="G344">
        <v>0.32213114754098365</v>
      </c>
      <c r="H344">
        <v>0.1663934426229508</v>
      </c>
      <c r="I344">
        <v>0.37</v>
      </c>
      <c r="J344">
        <v>0.91</v>
      </c>
      <c r="K344">
        <v>4.96</v>
      </c>
      <c r="L344">
        <v>3.93</v>
      </c>
      <c r="M344">
        <v>2.0299999999999998</v>
      </c>
      <c r="N344">
        <f t="shared" si="23"/>
        <v>28.039344262295081</v>
      </c>
    </row>
    <row r="345" spans="1:14" x14ac:dyDescent="0.3">
      <c r="A345" t="s">
        <v>135</v>
      </c>
      <c r="B345" t="s">
        <v>31</v>
      </c>
      <c r="C345">
        <v>0</v>
      </c>
      <c r="D345">
        <f t="shared" ref="D345:H350" si="24">I345/SUM($I345:$M345)</f>
        <v>1.4084507042253521E-2</v>
      </c>
      <c r="E345">
        <f t="shared" si="24"/>
        <v>3.7558685446009391E-2</v>
      </c>
      <c r="F345">
        <f t="shared" si="24"/>
        <v>5.6338028169014086E-2</v>
      </c>
      <c r="G345">
        <f t="shared" si="24"/>
        <v>0.23474178403755869</v>
      </c>
      <c r="H345">
        <f t="shared" si="24"/>
        <v>0.65727699530516437</v>
      </c>
      <c r="I345">
        <v>3</v>
      </c>
      <c r="J345">
        <v>8</v>
      </c>
      <c r="K345">
        <v>12</v>
      </c>
      <c r="L345">
        <v>50</v>
      </c>
      <c r="M345">
        <v>140</v>
      </c>
      <c r="N345">
        <f t="shared" si="23"/>
        <v>29.967136150234744</v>
      </c>
    </row>
    <row r="346" spans="1:14" x14ac:dyDescent="0.3">
      <c r="A346" t="s">
        <v>135</v>
      </c>
      <c r="B346" t="s">
        <v>31</v>
      </c>
      <c r="C346">
        <v>0</v>
      </c>
      <c r="D346">
        <f t="shared" si="24"/>
        <v>3.6517150395778365E-3</v>
      </c>
      <c r="E346">
        <f t="shared" si="24"/>
        <v>6.5857519788918208E-3</v>
      </c>
      <c r="F346">
        <f t="shared" si="24"/>
        <v>5.0490765171503964E-2</v>
      </c>
      <c r="G346">
        <f t="shared" si="24"/>
        <v>0.60099208443271779</v>
      </c>
      <c r="H346">
        <f t="shared" si="24"/>
        <v>0.33827968337730868</v>
      </c>
      <c r="I346">
        <v>1.73</v>
      </c>
      <c r="J346">
        <v>3.12</v>
      </c>
      <c r="K346">
        <v>23.92</v>
      </c>
      <c r="L346">
        <v>284.72000000000003</v>
      </c>
      <c r="M346">
        <v>160.26</v>
      </c>
      <c r="N346">
        <f t="shared" si="23"/>
        <v>29.527324538258576</v>
      </c>
    </row>
    <row r="347" spans="1:14" x14ac:dyDescent="0.3">
      <c r="A347" t="s">
        <v>135</v>
      </c>
      <c r="B347" t="s">
        <v>31</v>
      </c>
      <c r="C347">
        <v>0</v>
      </c>
      <c r="D347">
        <f t="shared" si="24"/>
        <v>4.4774409010542859E-3</v>
      </c>
      <c r="E347">
        <f t="shared" si="24"/>
        <v>6.9375777617706774E-2</v>
      </c>
      <c r="F347">
        <f t="shared" si="24"/>
        <v>0.1303328203784952</v>
      </c>
      <c r="G347">
        <f t="shared" si="24"/>
        <v>0.22004534739047871</v>
      </c>
      <c r="H347">
        <f t="shared" si="24"/>
        <v>0.57576861371226518</v>
      </c>
      <c r="I347">
        <v>10.94</v>
      </c>
      <c r="J347">
        <v>169.51</v>
      </c>
      <c r="K347">
        <v>318.45</v>
      </c>
      <c r="L347">
        <v>537.65</v>
      </c>
      <c r="M347">
        <v>1406.81</v>
      </c>
      <c r="N347">
        <f t="shared" si="23"/>
        <v>29.586503830790392</v>
      </c>
    </row>
    <row r="348" spans="1:14" x14ac:dyDescent="0.3">
      <c r="A348" t="s">
        <v>135</v>
      </c>
      <c r="B348" t="s">
        <v>31</v>
      </c>
      <c r="C348">
        <v>0</v>
      </c>
      <c r="D348">
        <f t="shared" si="24"/>
        <v>2.2407170294494239E-3</v>
      </c>
      <c r="E348">
        <f t="shared" si="24"/>
        <v>3.9591616685760505E-3</v>
      </c>
      <c r="F348">
        <f t="shared" si="24"/>
        <v>1.7723566278051082E-2</v>
      </c>
      <c r="G348">
        <f t="shared" si="24"/>
        <v>0.23515735561695536</v>
      </c>
      <c r="H348">
        <f t="shared" si="24"/>
        <v>0.74091919940696815</v>
      </c>
      <c r="I348">
        <v>1.33</v>
      </c>
      <c r="J348">
        <v>2.35</v>
      </c>
      <c r="K348">
        <v>10.52</v>
      </c>
      <c r="L348">
        <v>139.58000000000001</v>
      </c>
      <c r="M348">
        <v>439.78</v>
      </c>
      <c r="N348">
        <f t="shared" si="23"/>
        <v>30.417110317406838</v>
      </c>
    </row>
    <row r="349" spans="1:14" x14ac:dyDescent="0.3">
      <c r="A349" t="s">
        <v>135</v>
      </c>
      <c r="B349" t="s">
        <v>31</v>
      </c>
      <c r="C349">
        <v>0</v>
      </c>
      <c r="D349">
        <f t="shared" si="24"/>
        <v>8.4766645310728889E-3</v>
      </c>
      <c r="E349">
        <f t="shared" si="24"/>
        <v>1.4365975062835738E-2</v>
      </c>
      <c r="F349">
        <f t="shared" si="24"/>
        <v>7.4121531713567584E-2</v>
      </c>
      <c r="G349">
        <f t="shared" si="24"/>
        <v>0.37605342269971909</v>
      </c>
      <c r="H349">
        <f t="shared" si="24"/>
        <v>0.52698240599280466</v>
      </c>
      <c r="I349">
        <v>3.44</v>
      </c>
      <c r="J349">
        <v>5.83</v>
      </c>
      <c r="K349">
        <v>30.08</v>
      </c>
      <c r="L349">
        <v>152.61000000000001</v>
      </c>
      <c r="M349">
        <v>213.86</v>
      </c>
      <c r="N349">
        <f t="shared" si="23"/>
        <v>29.797397861120693</v>
      </c>
    </row>
    <row r="350" spans="1:14" x14ac:dyDescent="0.3">
      <c r="A350" t="s">
        <v>135</v>
      </c>
      <c r="B350" t="s">
        <v>31</v>
      </c>
      <c r="C350">
        <v>0</v>
      </c>
      <c r="D350">
        <f t="shared" si="24"/>
        <v>0</v>
      </c>
      <c r="E350">
        <f t="shared" si="24"/>
        <v>1.5215186204897838E-3</v>
      </c>
      <c r="F350">
        <f t="shared" si="24"/>
        <v>7.915519489928996E-3</v>
      </c>
      <c r="G350">
        <f t="shared" si="24"/>
        <v>0.12887624981886683</v>
      </c>
      <c r="H350">
        <f t="shared" si="24"/>
        <v>0.86168671207071434</v>
      </c>
      <c r="I350">
        <v>0</v>
      </c>
      <c r="J350">
        <v>0.84</v>
      </c>
      <c r="K350">
        <v>4.37</v>
      </c>
      <c r="L350">
        <v>71.150000000000006</v>
      </c>
      <c r="M350">
        <v>475.72</v>
      </c>
      <c r="N350">
        <f t="shared" si="23"/>
        <v>30.70145631067961</v>
      </c>
    </row>
    <row r="351" spans="1:14" x14ac:dyDescent="0.3">
      <c r="A351" t="s">
        <v>74</v>
      </c>
      <c r="B351" t="s">
        <v>18</v>
      </c>
      <c r="C351">
        <v>0</v>
      </c>
      <c r="D351">
        <v>0.20196313750743985</v>
      </c>
      <c r="E351">
        <v>0.58670686610270373</v>
      </c>
      <c r="F351">
        <v>0.10832382011728089</v>
      </c>
      <c r="G351">
        <v>4.964435207680825E-2</v>
      </c>
      <c r="H351">
        <v>5.3361824195767356E-2</v>
      </c>
      <c r="I351">
        <v>206.99</v>
      </c>
      <c r="J351">
        <v>601.30999999999995</v>
      </c>
      <c r="K351">
        <v>111.02</v>
      </c>
      <c r="L351">
        <v>50.88</v>
      </c>
      <c r="M351">
        <v>54.69</v>
      </c>
      <c r="N351">
        <f t="shared" si="23"/>
        <v>25.331469718701513</v>
      </c>
    </row>
    <row r="352" spans="1:14" x14ac:dyDescent="0.3">
      <c r="A352" t="s">
        <v>74</v>
      </c>
      <c r="B352" t="s">
        <v>18</v>
      </c>
      <c r="C352">
        <v>0</v>
      </c>
      <c r="D352">
        <v>0.23599320882852293</v>
      </c>
      <c r="E352">
        <v>0.25282133226805154</v>
      </c>
      <c r="F352">
        <v>0.18121442125237192</v>
      </c>
      <c r="G352">
        <v>0.15265155298112454</v>
      </c>
      <c r="H352">
        <v>0.17731948466992908</v>
      </c>
      <c r="I352">
        <v>47.26</v>
      </c>
      <c r="J352">
        <v>50.63</v>
      </c>
      <c r="K352">
        <v>36.29</v>
      </c>
      <c r="L352">
        <v>30.57</v>
      </c>
      <c r="M352">
        <v>35.51</v>
      </c>
      <c r="N352">
        <f t="shared" si="23"/>
        <v>26.564965544791768</v>
      </c>
    </row>
    <row r="353" spans="1:14" x14ac:dyDescent="0.3">
      <c r="A353" t="s">
        <v>74</v>
      </c>
      <c r="B353" t="s">
        <v>18</v>
      </c>
      <c r="C353">
        <v>0</v>
      </c>
      <c r="D353">
        <v>4.1103017689906353E-2</v>
      </c>
      <c r="E353">
        <v>0.16597294484911551</v>
      </c>
      <c r="F353">
        <v>0.25494276795005205</v>
      </c>
      <c r="G353">
        <v>0.22944849115504684</v>
      </c>
      <c r="H353">
        <v>0.30853277835587928</v>
      </c>
      <c r="I353">
        <v>0.79</v>
      </c>
      <c r="J353">
        <v>3.19</v>
      </c>
      <c r="K353">
        <v>4.9000000000000004</v>
      </c>
      <c r="L353">
        <v>4.41</v>
      </c>
      <c r="M353">
        <v>5.93</v>
      </c>
      <c r="N353">
        <f t="shared" si="23"/>
        <v>28.196670135275753</v>
      </c>
    </row>
    <row r="354" spans="1:14" x14ac:dyDescent="0.3">
      <c r="A354" t="s">
        <v>74</v>
      </c>
      <c r="B354" t="s">
        <v>18</v>
      </c>
      <c r="C354">
        <v>0</v>
      </c>
      <c r="D354">
        <v>0.27916666666666667</v>
      </c>
      <c r="E354">
        <v>0.59687500000000004</v>
      </c>
      <c r="F354">
        <v>0.10520833333333333</v>
      </c>
      <c r="G354">
        <v>1.2500000000000001E-2</v>
      </c>
      <c r="H354">
        <v>6.2500000000000003E-3</v>
      </c>
      <c r="I354">
        <v>2.68</v>
      </c>
      <c r="J354">
        <v>5.73</v>
      </c>
      <c r="K354">
        <v>1.01</v>
      </c>
      <c r="L354">
        <v>0.12</v>
      </c>
      <c r="M354">
        <v>0.06</v>
      </c>
      <c r="N354">
        <f t="shared" si="23"/>
        <v>24.739583333333336</v>
      </c>
    </row>
    <row r="355" spans="1:14" x14ac:dyDescent="0.3">
      <c r="A355" t="s">
        <v>76</v>
      </c>
      <c r="B355" t="s">
        <v>18</v>
      </c>
      <c r="C355">
        <v>0</v>
      </c>
      <c r="D355">
        <v>0.21232625399292063</v>
      </c>
      <c r="E355">
        <v>0.18354485021151687</v>
      </c>
      <c r="F355">
        <v>0.25234179400846068</v>
      </c>
      <c r="G355">
        <v>0.23630536130536128</v>
      </c>
      <c r="H355">
        <v>0.11548174048174048</v>
      </c>
      <c r="I355">
        <v>196.75</v>
      </c>
      <c r="J355">
        <v>170.08</v>
      </c>
      <c r="K355">
        <v>233.83</v>
      </c>
      <c r="L355">
        <v>218.97</v>
      </c>
      <c r="M355">
        <v>107.01</v>
      </c>
      <c r="N355">
        <f t="shared" si="23"/>
        <v>26.718142968142971</v>
      </c>
    </row>
    <row r="356" spans="1:14" x14ac:dyDescent="0.3">
      <c r="A356" t="s">
        <v>75</v>
      </c>
      <c r="B356" t="s">
        <v>22</v>
      </c>
      <c r="C356">
        <v>0</v>
      </c>
      <c r="D356">
        <v>0.27264883520276101</v>
      </c>
      <c r="E356">
        <v>0.21829163071613458</v>
      </c>
      <c r="F356">
        <v>0.21397756686798966</v>
      </c>
      <c r="G356">
        <v>0.17946505608283003</v>
      </c>
      <c r="H356">
        <v>0.11561691113028473</v>
      </c>
      <c r="I356">
        <v>3.16</v>
      </c>
      <c r="J356">
        <v>2.5299999999999998</v>
      </c>
      <c r="K356">
        <v>2.48</v>
      </c>
      <c r="L356">
        <v>2.08</v>
      </c>
      <c r="M356">
        <v>1.34</v>
      </c>
      <c r="N356">
        <f t="shared" si="23"/>
        <v>26.294219154443486</v>
      </c>
    </row>
    <row r="357" spans="1:14" x14ac:dyDescent="0.3">
      <c r="A357" t="s">
        <v>77</v>
      </c>
      <c r="B357" t="s">
        <v>34</v>
      </c>
      <c r="C357">
        <v>0</v>
      </c>
      <c r="D357">
        <v>0.11462093862815885</v>
      </c>
      <c r="E357">
        <v>0.11732851985559567</v>
      </c>
      <c r="F357">
        <v>0.27978339350180503</v>
      </c>
      <c r="G357">
        <v>0.39350180505415161</v>
      </c>
      <c r="H357">
        <v>9.4765342960288809E-2</v>
      </c>
      <c r="I357">
        <v>127</v>
      </c>
      <c r="J357">
        <v>130</v>
      </c>
      <c r="K357">
        <v>310</v>
      </c>
      <c r="L357">
        <v>436</v>
      </c>
      <c r="M357">
        <v>105</v>
      </c>
      <c r="N357">
        <f t="shared" si="23"/>
        <v>27.472924187725628</v>
      </c>
    </row>
    <row r="358" spans="1:14" x14ac:dyDescent="0.3">
      <c r="A358" t="s">
        <v>78</v>
      </c>
      <c r="B358" t="s">
        <v>18</v>
      </c>
      <c r="C358">
        <v>0</v>
      </c>
      <c r="D358">
        <v>0.13840977811847877</v>
      </c>
      <c r="E358">
        <v>0.62167284187215188</v>
      </c>
      <c r="F358">
        <v>0.12605936714790683</v>
      </c>
      <c r="G358">
        <v>6.8757719006856607E-2</v>
      </c>
      <c r="H358">
        <v>4.5100293854605851E-2</v>
      </c>
      <c r="I358">
        <v>65</v>
      </c>
      <c r="J358">
        <v>291.95</v>
      </c>
      <c r="K358">
        <v>59.2</v>
      </c>
      <c r="L358">
        <v>32.29</v>
      </c>
      <c r="M358">
        <v>21.18</v>
      </c>
      <c r="N358">
        <f t="shared" si="23"/>
        <v>25.520931817213921</v>
      </c>
    </row>
    <row r="359" spans="1:14" x14ac:dyDescent="0.3">
      <c r="A359" t="s">
        <v>185</v>
      </c>
      <c r="B359" t="s">
        <v>18</v>
      </c>
      <c r="C359">
        <v>0</v>
      </c>
      <c r="D359">
        <v>1.4354066985645935E-2</v>
      </c>
      <c r="E359">
        <v>3.7555294754897536E-2</v>
      </c>
      <c r="F359">
        <v>6.9062020402636093E-2</v>
      </c>
      <c r="G359">
        <v>0.32319220005416627</v>
      </c>
      <c r="H359">
        <v>0.55583641780265414</v>
      </c>
      <c r="I359">
        <v>1.59</v>
      </c>
      <c r="J359">
        <v>4.16</v>
      </c>
      <c r="K359">
        <v>7.65</v>
      </c>
      <c r="L359">
        <v>35.799999999999997</v>
      </c>
      <c r="M359">
        <v>61.57</v>
      </c>
      <c r="N359">
        <f t="shared" si="23"/>
        <v>29.737203213866568</v>
      </c>
    </row>
    <row r="360" spans="1:14" x14ac:dyDescent="0.3">
      <c r="A360" t="s">
        <v>185</v>
      </c>
      <c r="B360" t="s">
        <v>18</v>
      </c>
      <c r="C360">
        <v>0</v>
      </c>
      <c r="D360">
        <v>1.5004185717045529E-2</v>
      </c>
      <c r="E360">
        <v>3.6963101294352506E-2</v>
      </c>
      <c r="F360">
        <v>0.10122995685491662</v>
      </c>
      <c r="G360">
        <v>0.56462103161826271</v>
      </c>
      <c r="H360">
        <v>0.28218172451542278</v>
      </c>
      <c r="I360">
        <v>2.33</v>
      </c>
      <c r="J360">
        <v>5.74</v>
      </c>
      <c r="K360">
        <v>15.72</v>
      </c>
      <c r="L360">
        <v>87.68</v>
      </c>
      <c r="M360">
        <v>43.82</v>
      </c>
      <c r="N360">
        <f t="shared" si="23"/>
        <v>29.124026015841324</v>
      </c>
    </row>
    <row r="361" spans="1:14" x14ac:dyDescent="0.3">
      <c r="A361" t="s">
        <v>79</v>
      </c>
      <c r="B361" t="s">
        <v>18</v>
      </c>
      <c r="C361">
        <v>0</v>
      </c>
      <c r="D361">
        <v>0.11037037037037037</v>
      </c>
      <c r="E361">
        <v>0.19111111111111112</v>
      </c>
      <c r="F361">
        <v>0.18592592592592591</v>
      </c>
      <c r="G361">
        <v>0.27259259259259261</v>
      </c>
      <c r="H361">
        <v>0.24000000000000002</v>
      </c>
      <c r="I361">
        <v>2.98</v>
      </c>
      <c r="J361">
        <v>5.16</v>
      </c>
      <c r="K361">
        <v>5.0199999999999996</v>
      </c>
      <c r="L361">
        <v>7.36</v>
      </c>
      <c r="M361">
        <v>6.48</v>
      </c>
      <c r="N361">
        <f t="shared" si="23"/>
        <v>27.681481481481484</v>
      </c>
    </row>
    <row r="362" spans="1:14" x14ac:dyDescent="0.3">
      <c r="A362" t="s">
        <v>162</v>
      </c>
      <c r="B362" t="s">
        <v>149</v>
      </c>
      <c r="C362">
        <v>0</v>
      </c>
      <c r="D362">
        <f t="shared" ref="D362:D370" si="25">I362/SUM($I362:$M362)</f>
        <v>0.45562812139838643</v>
      </c>
      <c r="E362">
        <f t="shared" ref="E362:E370" si="26">J362/SUM($I362:$M362)</f>
        <v>0.54437187860161351</v>
      </c>
      <c r="F362">
        <f t="shared" ref="F362:F370" si="27">K362/SUM($I362:$M362)</f>
        <v>0</v>
      </c>
      <c r="G362">
        <f t="shared" ref="G362:G370" si="28">L362/SUM($I362:$M362)</f>
        <v>0</v>
      </c>
      <c r="H362">
        <f t="shared" ref="H362:H370" si="29">M362/SUM($I362:$M362)</f>
        <v>0</v>
      </c>
      <c r="I362">
        <v>11.86</v>
      </c>
      <c r="J362">
        <v>14.17</v>
      </c>
      <c r="K362">
        <v>0</v>
      </c>
      <c r="L362">
        <v>0</v>
      </c>
      <c r="M362">
        <v>0</v>
      </c>
      <c r="N362">
        <f t="shared" si="23"/>
        <v>24.088743757203225</v>
      </c>
    </row>
    <row r="363" spans="1:14" x14ac:dyDescent="0.3">
      <c r="A363" t="s">
        <v>161</v>
      </c>
      <c r="B363" t="s">
        <v>149</v>
      </c>
      <c r="C363">
        <v>0</v>
      </c>
      <c r="D363">
        <f t="shared" si="25"/>
        <v>0.77539503386004516</v>
      </c>
      <c r="E363">
        <f t="shared" si="26"/>
        <v>0.22460496613995487</v>
      </c>
      <c r="F363">
        <f t="shared" si="27"/>
        <v>0</v>
      </c>
      <c r="G363">
        <f t="shared" si="28"/>
        <v>0</v>
      </c>
      <c r="H363">
        <f t="shared" si="29"/>
        <v>0</v>
      </c>
      <c r="I363">
        <v>6.87</v>
      </c>
      <c r="J363">
        <v>1.99</v>
      </c>
      <c r="K363">
        <v>0</v>
      </c>
      <c r="L363">
        <v>0</v>
      </c>
      <c r="M363">
        <v>0</v>
      </c>
      <c r="N363">
        <f t="shared" si="23"/>
        <v>23.44920993227991</v>
      </c>
    </row>
    <row r="364" spans="1:14" x14ac:dyDescent="0.3">
      <c r="A364" t="s">
        <v>157</v>
      </c>
      <c r="B364" t="s">
        <v>149</v>
      </c>
      <c r="C364">
        <v>0</v>
      </c>
      <c r="D364">
        <f t="shared" si="25"/>
        <v>0.49766173031956351</v>
      </c>
      <c r="E364">
        <f t="shared" si="26"/>
        <v>0.40296180826188621</v>
      </c>
      <c r="F364">
        <f t="shared" si="27"/>
        <v>9.9376461418550263E-2</v>
      </c>
      <c r="G364">
        <f t="shared" si="28"/>
        <v>0</v>
      </c>
      <c r="H364">
        <f t="shared" si="29"/>
        <v>0</v>
      </c>
      <c r="I364">
        <v>12.77</v>
      </c>
      <c r="J364">
        <v>10.34</v>
      </c>
      <c r="K364">
        <v>2.5499999999999998</v>
      </c>
      <c r="L364">
        <v>0</v>
      </c>
      <c r="M364">
        <v>0</v>
      </c>
      <c r="N364">
        <f t="shared" si="23"/>
        <v>24.203429462197974</v>
      </c>
    </row>
    <row r="365" spans="1:14" x14ac:dyDescent="0.3">
      <c r="A365" t="s">
        <v>152</v>
      </c>
      <c r="B365" t="s">
        <v>149</v>
      </c>
      <c r="C365">
        <v>0</v>
      </c>
      <c r="D365">
        <f t="shared" si="25"/>
        <v>0.60093474467479957</v>
      </c>
      <c r="E365">
        <f t="shared" si="26"/>
        <v>0.17273174518983159</v>
      </c>
      <c r="F365">
        <f t="shared" si="27"/>
        <v>0.15561653944607154</v>
      </c>
      <c r="G365">
        <f t="shared" si="28"/>
        <v>5.2660101930217008E-2</v>
      </c>
      <c r="H365">
        <f t="shared" si="29"/>
        <v>1.8056868759080323E-2</v>
      </c>
      <c r="I365">
        <v>156.35</v>
      </c>
      <c r="J365">
        <v>44.941000000000003</v>
      </c>
      <c r="K365">
        <v>40.488</v>
      </c>
      <c r="L365">
        <v>13.701000000000001</v>
      </c>
      <c r="M365">
        <v>4.6980000000000004</v>
      </c>
      <c r="N365">
        <f t="shared" si="23"/>
        <v>24.428345209817895</v>
      </c>
    </row>
    <row r="366" spans="1:14" x14ac:dyDescent="0.3">
      <c r="A366" t="s">
        <v>152</v>
      </c>
      <c r="B366" t="s">
        <v>149</v>
      </c>
      <c r="C366">
        <v>0</v>
      </c>
      <c r="D366">
        <f t="shared" si="25"/>
        <v>0.40898561381711096</v>
      </c>
      <c r="E366">
        <f t="shared" si="26"/>
        <v>0.22044565833585392</v>
      </c>
      <c r="F366">
        <f t="shared" si="27"/>
        <v>0.26821727609770946</v>
      </c>
      <c r="G366">
        <f t="shared" si="28"/>
        <v>9.7300077699514792E-2</v>
      </c>
      <c r="H366">
        <f t="shared" si="29"/>
        <v>5.0513740498110042E-3</v>
      </c>
      <c r="I366">
        <v>225.81200000000001</v>
      </c>
      <c r="J366">
        <v>121.714</v>
      </c>
      <c r="K366">
        <v>148.09</v>
      </c>
      <c r="L366">
        <v>53.722000000000001</v>
      </c>
      <c r="M366">
        <v>2.7890000000000001</v>
      </c>
      <c r="N366">
        <f t="shared" si="23"/>
        <v>25.137971879658117</v>
      </c>
    </row>
    <row r="367" spans="1:14" x14ac:dyDescent="0.3">
      <c r="A367" t="s">
        <v>152</v>
      </c>
      <c r="B367" t="s">
        <v>149</v>
      </c>
      <c r="C367">
        <v>0</v>
      </c>
      <c r="D367">
        <f t="shared" si="25"/>
        <v>0.43275818775334507</v>
      </c>
      <c r="E367">
        <f t="shared" si="26"/>
        <v>0.22683275340483791</v>
      </c>
      <c r="F367">
        <f t="shared" si="27"/>
        <v>0.25483971254678289</v>
      </c>
      <c r="G367">
        <f t="shared" si="28"/>
        <v>8.0517391876218147E-2</v>
      </c>
      <c r="H367">
        <f t="shared" si="29"/>
        <v>5.0519544188159888E-3</v>
      </c>
      <c r="I367">
        <v>144.768</v>
      </c>
      <c r="J367">
        <v>75.881</v>
      </c>
      <c r="K367">
        <v>85.25</v>
      </c>
      <c r="L367">
        <v>26.934999999999999</v>
      </c>
      <c r="M367">
        <v>1.69</v>
      </c>
      <c r="N367">
        <f t="shared" si="23"/>
        <v>24.996544343604651</v>
      </c>
    </row>
    <row r="368" spans="1:14" x14ac:dyDescent="0.3">
      <c r="A368" t="s">
        <v>152</v>
      </c>
      <c r="B368" t="s">
        <v>149</v>
      </c>
      <c r="C368">
        <v>0</v>
      </c>
      <c r="D368">
        <f t="shared" si="25"/>
        <v>0.51502105503908302</v>
      </c>
      <c r="E368">
        <f t="shared" si="26"/>
        <v>0.1989891787413616</v>
      </c>
      <c r="F368">
        <f t="shared" si="27"/>
        <v>0.20838882984209844</v>
      </c>
      <c r="G368">
        <f t="shared" si="28"/>
        <v>7.2120796279603744E-2</v>
      </c>
      <c r="H368">
        <f t="shared" si="29"/>
        <v>5.4801400978532382E-3</v>
      </c>
      <c r="I368">
        <v>114.843</v>
      </c>
      <c r="J368">
        <v>44.372</v>
      </c>
      <c r="K368">
        <v>46.468000000000004</v>
      </c>
      <c r="L368">
        <v>16.082000000000001</v>
      </c>
      <c r="M368">
        <v>1.222</v>
      </c>
      <c r="N368">
        <f t="shared" si="23"/>
        <v>24.708099575311564</v>
      </c>
    </row>
    <row r="369" spans="1:14" x14ac:dyDescent="0.3">
      <c r="A369" t="s">
        <v>152</v>
      </c>
      <c r="B369" t="s">
        <v>149</v>
      </c>
      <c r="C369">
        <v>0</v>
      </c>
      <c r="D369">
        <f t="shared" si="25"/>
        <v>0.27654589245510236</v>
      </c>
      <c r="E369">
        <f t="shared" si="26"/>
        <v>0.19239227184669355</v>
      </c>
      <c r="F369">
        <f t="shared" si="27"/>
        <v>0.35944290276977853</v>
      </c>
      <c r="G369">
        <f t="shared" si="28"/>
        <v>0.17161893292842559</v>
      </c>
      <c r="H369">
        <f t="shared" si="29"/>
        <v>0</v>
      </c>
      <c r="I369">
        <v>21.126999999999999</v>
      </c>
      <c r="J369">
        <v>14.698</v>
      </c>
      <c r="K369">
        <v>27.46</v>
      </c>
      <c r="L369">
        <v>13.111000000000001</v>
      </c>
      <c r="M369">
        <v>0</v>
      </c>
      <c r="N369">
        <f t="shared" si="23"/>
        <v>25.852269752343055</v>
      </c>
    </row>
    <row r="370" spans="1:14" x14ac:dyDescent="0.3">
      <c r="A370" t="s">
        <v>170</v>
      </c>
      <c r="B370" t="s">
        <v>15</v>
      </c>
      <c r="C370">
        <v>0</v>
      </c>
      <c r="D370">
        <f t="shared" si="25"/>
        <v>5.7142857142857143E-3</v>
      </c>
      <c r="E370">
        <f t="shared" si="26"/>
        <v>1.1428571428571429E-2</v>
      </c>
      <c r="F370">
        <f t="shared" si="27"/>
        <v>9.1428571428571428E-2</v>
      </c>
      <c r="G370">
        <f t="shared" si="28"/>
        <v>0.14857142857142858</v>
      </c>
      <c r="H370">
        <f t="shared" si="29"/>
        <v>0.74285714285714288</v>
      </c>
      <c r="I370">
        <v>5</v>
      </c>
      <c r="J370">
        <v>10</v>
      </c>
      <c r="K370">
        <v>80</v>
      </c>
      <c r="L370">
        <v>130</v>
      </c>
      <c r="M370">
        <v>650</v>
      </c>
      <c r="N370">
        <f t="shared" si="23"/>
        <v>30.222857142857144</v>
      </c>
    </row>
    <row r="371" spans="1:14" x14ac:dyDescent="0.3">
      <c r="A371" t="s">
        <v>80</v>
      </c>
      <c r="B371" t="s">
        <v>18</v>
      </c>
      <c r="C371">
        <v>0</v>
      </c>
      <c r="D371">
        <v>0.16479980196794355</v>
      </c>
      <c r="E371">
        <v>0.21597871155393278</v>
      </c>
      <c r="F371">
        <v>0.22940776038121172</v>
      </c>
      <c r="G371">
        <v>0.19122470449904078</v>
      </c>
      <c r="H371">
        <v>0.19858902159787117</v>
      </c>
      <c r="I371">
        <v>26.63</v>
      </c>
      <c r="J371">
        <v>34.9</v>
      </c>
      <c r="K371">
        <v>37.07</v>
      </c>
      <c r="L371">
        <v>30.9</v>
      </c>
      <c r="M371">
        <v>32.090000000000003</v>
      </c>
      <c r="N371">
        <f t="shared" si="23"/>
        <v>27.085648864409926</v>
      </c>
    </row>
    <row r="372" spans="1:14" x14ac:dyDescent="0.3">
      <c r="A372" t="s">
        <v>81</v>
      </c>
      <c r="B372" t="s">
        <v>22</v>
      </c>
      <c r="C372">
        <v>0</v>
      </c>
      <c r="D372">
        <v>6.7526928754989335E-2</v>
      </c>
      <c r="E372">
        <v>5.7684947236043532E-2</v>
      </c>
      <c r="F372">
        <v>7.8571819126250747E-2</v>
      </c>
      <c r="G372">
        <v>0.44332658975340372</v>
      </c>
      <c r="H372">
        <v>0.35288971512931278</v>
      </c>
      <c r="I372">
        <v>12.35</v>
      </c>
      <c r="J372">
        <v>10.55</v>
      </c>
      <c r="K372">
        <v>14.37</v>
      </c>
      <c r="L372">
        <v>81.08</v>
      </c>
      <c r="M372">
        <v>64.540000000000006</v>
      </c>
      <c r="N372">
        <f t="shared" si="23"/>
        <v>28.912734430532019</v>
      </c>
    </row>
    <row r="373" spans="1:14" x14ac:dyDescent="0.3">
      <c r="A373" t="s">
        <v>82</v>
      </c>
      <c r="B373" t="s">
        <v>15</v>
      </c>
      <c r="C373">
        <v>0</v>
      </c>
      <c r="D373">
        <v>9.3201754385964907E-3</v>
      </c>
      <c r="E373">
        <v>0.16758040935672514</v>
      </c>
      <c r="F373">
        <v>0.19956140350877194</v>
      </c>
      <c r="G373">
        <v>0.50310672514619881</v>
      </c>
      <c r="H373">
        <v>0.1204312865497076</v>
      </c>
      <c r="I373">
        <v>51</v>
      </c>
      <c r="J373">
        <v>917</v>
      </c>
      <c r="K373">
        <v>1092</v>
      </c>
      <c r="L373">
        <v>2753</v>
      </c>
      <c r="M373">
        <v>659</v>
      </c>
      <c r="N373">
        <f t="shared" si="23"/>
        <v>28.115497076023395</v>
      </c>
    </row>
    <row r="374" spans="1:14" x14ac:dyDescent="0.3">
      <c r="A374" t="s">
        <v>82</v>
      </c>
      <c r="B374" t="s">
        <v>15</v>
      </c>
      <c r="C374">
        <v>0</v>
      </c>
      <c r="D374">
        <v>1.2278801011195379E-2</v>
      </c>
      <c r="E374">
        <v>6.6570362345010237E-2</v>
      </c>
      <c r="F374">
        <v>0.18117250511616712</v>
      </c>
      <c r="G374">
        <v>0.49223546406645002</v>
      </c>
      <c r="H374">
        <v>0.24774286746117732</v>
      </c>
      <c r="I374">
        <v>1.02</v>
      </c>
      <c r="J374">
        <v>5.53</v>
      </c>
      <c r="K374">
        <v>15.05</v>
      </c>
      <c r="L374">
        <v>40.89</v>
      </c>
      <c r="M374">
        <v>20.58</v>
      </c>
      <c r="N374">
        <f t="shared" si="23"/>
        <v>28.793186469242809</v>
      </c>
    </row>
    <row r="375" spans="1:14" x14ac:dyDescent="0.3">
      <c r="A375" t="s">
        <v>83</v>
      </c>
      <c r="B375" t="s">
        <v>18</v>
      </c>
      <c r="C375">
        <v>0</v>
      </c>
      <c r="D375">
        <v>8.2792207792207792E-2</v>
      </c>
      <c r="E375">
        <v>6.9399350649350641E-2</v>
      </c>
      <c r="F375">
        <v>0.17167207792207795</v>
      </c>
      <c r="G375">
        <v>0.36810064935064934</v>
      </c>
      <c r="H375">
        <v>0.30803571428571425</v>
      </c>
      <c r="I375">
        <v>2.04</v>
      </c>
      <c r="J375">
        <v>1.71</v>
      </c>
      <c r="K375">
        <v>4.2300000000000004</v>
      </c>
      <c r="L375">
        <v>9.07</v>
      </c>
      <c r="M375">
        <v>7.59</v>
      </c>
      <c r="N375">
        <f t="shared" si="23"/>
        <v>28.498376623376625</v>
      </c>
    </row>
    <row r="376" spans="1:14" x14ac:dyDescent="0.3">
      <c r="A376" t="s">
        <v>83</v>
      </c>
      <c r="B376" t="s">
        <v>18</v>
      </c>
      <c r="C376">
        <v>0</v>
      </c>
      <c r="D376">
        <v>0.15131578947368421</v>
      </c>
      <c r="E376">
        <v>0.23684210526315788</v>
      </c>
      <c r="F376">
        <v>0.23026315789473684</v>
      </c>
      <c r="G376">
        <v>0.19078947368421051</v>
      </c>
      <c r="H376">
        <v>0.19078947368421051</v>
      </c>
      <c r="I376">
        <v>0.23</v>
      </c>
      <c r="J376">
        <v>0.36</v>
      </c>
      <c r="K376">
        <v>0.35</v>
      </c>
      <c r="L376">
        <v>0.28999999999999998</v>
      </c>
      <c r="M376">
        <v>0.28999999999999998</v>
      </c>
      <c r="N376">
        <f t="shared" si="23"/>
        <v>27.065789473684212</v>
      </c>
    </row>
    <row r="377" spans="1:14" x14ac:dyDescent="0.3">
      <c r="A377" t="s">
        <v>143</v>
      </c>
      <c r="B377" t="s">
        <v>149</v>
      </c>
      <c r="C377">
        <v>0</v>
      </c>
      <c r="D377">
        <f>I377/SUM($I377:$M377)</f>
        <v>0.10727083679669869</v>
      </c>
      <c r="E377">
        <f>J377/SUM($I377:$M377)</f>
        <v>0.28710245007203788</v>
      </c>
      <c r="F377">
        <f>K377/SUM($I377:$M377)</f>
        <v>0.26453436974160277</v>
      </c>
      <c r="G377">
        <f>L377/SUM($I377:$M377)</f>
        <v>0.23989228724965156</v>
      </c>
      <c r="H377">
        <f>M377/SUM($I377:$M377)</f>
        <v>0.10120005614000897</v>
      </c>
      <c r="I377">
        <v>11.135102572298926</v>
      </c>
      <c r="J377">
        <v>29.802277354928396</v>
      </c>
      <c r="K377">
        <v>27.459628627245397</v>
      </c>
      <c r="L377">
        <v>24.901690940388711</v>
      </c>
      <c r="M377">
        <v>10.504933485109996</v>
      </c>
      <c r="N377">
        <f t="shared" si="23"/>
        <v>26.881296551728468</v>
      </c>
    </row>
    <row r="378" spans="1:14" x14ac:dyDescent="0.3">
      <c r="A378" t="s">
        <v>84</v>
      </c>
      <c r="B378" t="s">
        <v>13</v>
      </c>
      <c r="C378">
        <v>0</v>
      </c>
      <c r="D378">
        <v>0.27929687500000006</v>
      </c>
      <c r="E378">
        <v>0.24218750000000003</v>
      </c>
      <c r="F378">
        <v>0.18750000000000003</v>
      </c>
      <c r="G378">
        <v>0.15625000000000003</v>
      </c>
      <c r="H378">
        <v>0.134765625</v>
      </c>
      <c r="I378">
        <v>1.43</v>
      </c>
      <c r="J378">
        <v>1.24</v>
      </c>
      <c r="K378">
        <v>0.96</v>
      </c>
      <c r="L378">
        <v>0.8</v>
      </c>
      <c r="M378">
        <v>0.69</v>
      </c>
      <c r="N378">
        <f t="shared" si="23"/>
        <v>26.250000000000004</v>
      </c>
    </row>
    <row r="379" spans="1:14" x14ac:dyDescent="0.3">
      <c r="A379" t="s">
        <v>84</v>
      </c>
      <c r="B379" t="s">
        <v>13</v>
      </c>
      <c r="C379">
        <v>0</v>
      </c>
      <c r="D379">
        <v>0.26470588235294112</v>
      </c>
      <c r="E379">
        <v>0.30147058823529405</v>
      </c>
      <c r="F379">
        <v>0.24264705882352935</v>
      </c>
      <c r="G379">
        <v>8.8235294117647037E-2</v>
      </c>
      <c r="H379">
        <v>0.10294117647058822</v>
      </c>
      <c r="I379">
        <v>0.36</v>
      </c>
      <c r="J379">
        <v>0.41</v>
      </c>
      <c r="K379">
        <v>0.33</v>
      </c>
      <c r="L379">
        <v>0.12</v>
      </c>
      <c r="M379">
        <v>0.14000000000000001</v>
      </c>
      <c r="N379">
        <f t="shared" si="23"/>
        <v>25.926470588235297</v>
      </c>
    </row>
    <row r="380" spans="1:14" x14ac:dyDescent="0.3">
      <c r="A380" t="s">
        <v>84</v>
      </c>
      <c r="B380" t="s">
        <v>13</v>
      </c>
      <c r="C380">
        <v>0</v>
      </c>
      <c r="D380">
        <v>0.51785714285714279</v>
      </c>
      <c r="E380">
        <v>7.1428571428571425E-2</v>
      </c>
      <c r="F380">
        <v>0</v>
      </c>
      <c r="G380">
        <v>0.33928571428571425</v>
      </c>
      <c r="H380">
        <v>7.1428571428571425E-2</v>
      </c>
      <c r="I380">
        <v>0.28999999999999998</v>
      </c>
      <c r="J380">
        <v>0.04</v>
      </c>
      <c r="K380">
        <v>0</v>
      </c>
      <c r="L380">
        <v>0.19</v>
      </c>
      <c r="M380">
        <v>0.04</v>
      </c>
      <c r="N380">
        <f t="shared" si="23"/>
        <v>25.750000000000007</v>
      </c>
    </row>
    <row r="381" spans="1:14" x14ac:dyDescent="0.3">
      <c r="A381" t="s">
        <v>84</v>
      </c>
      <c r="B381" t="s">
        <v>13</v>
      </c>
      <c r="C381">
        <v>0</v>
      </c>
      <c r="D381">
        <v>0.38461538461538464</v>
      </c>
      <c r="E381">
        <v>0.30769230769230771</v>
      </c>
      <c r="F381">
        <v>0.15384615384615385</v>
      </c>
      <c r="G381">
        <v>7.6923076923076927E-2</v>
      </c>
      <c r="H381">
        <v>7.6923076923076927E-2</v>
      </c>
      <c r="I381">
        <v>0.05</v>
      </c>
      <c r="J381">
        <v>0.04</v>
      </c>
      <c r="K381">
        <v>0.02</v>
      </c>
      <c r="L381">
        <v>0.01</v>
      </c>
      <c r="M381">
        <v>0.01</v>
      </c>
      <c r="N381">
        <f t="shared" si="23"/>
        <v>25.307692307692307</v>
      </c>
    </row>
    <row r="382" spans="1:14" x14ac:dyDescent="0.3">
      <c r="A382" t="s">
        <v>85</v>
      </c>
      <c r="B382" t="s">
        <v>13</v>
      </c>
      <c r="C382">
        <v>0</v>
      </c>
      <c r="D382">
        <v>0.1764705882352941</v>
      </c>
      <c r="E382">
        <v>0.23529411764705882</v>
      </c>
      <c r="F382">
        <v>0.23529411764705882</v>
      </c>
      <c r="G382">
        <v>0.1764705882352941</v>
      </c>
      <c r="H382">
        <v>0.1764705882352941</v>
      </c>
      <c r="I382">
        <v>0.03</v>
      </c>
      <c r="J382">
        <v>0.04</v>
      </c>
      <c r="K382">
        <v>0.04</v>
      </c>
      <c r="L382">
        <v>0.03</v>
      </c>
      <c r="M382">
        <v>0.03</v>
      </c>
      <c r="N382">
        <f t="shared" si="23"/>
        <v>26.882352941176467</v>
      </c>
    </row>
    <row r="383" spans="1:14" x14ac:dyDescent="0.3">
      <c r="A383" t="s">
        <v>86</v>
      </c>
      <c r="B383" t="s">
        <v>13</v>
      </c>
      <c r="C383">
        <v>0</v>
      </c>
      <c r="D383">
        <v>0.14173228346456693</v>
      </c>
      <c r="E383">
        <v>0.15748031496062992</v>
      </c>
      <c r="F383">
        <v>0.10551181102362206</v>
      </c>
      <c r="G383">
        <v>0.33543307086614171</v>
      </c>
      <c r="H383">
        <v>0.25984251968503935</v>
      </c>
      <c r="I383">
        <v>0.9</v>
      </c>
      <c r="J383">
        <v>1</v>
      </c>
      <c r="K383">
        <v>0.67</v>
      </c>
      <c r="L383">
        <v>2.13</v>
      </c>
      <c r="M383">
        <v>1.65</v>
      </c>
      <c r="N383">
        <f t="shared" si="23"/>
        <v>27.828346456692913</v>
      </c>
    </row>
    <row r="384" spans="1:14" x14ac:dyDescent="0.3">
      <c r="A384" t="s">
        <v>86</v>
      </c>
      <c r="B384" t="s">
        <v>13</v>
      </c>
      <c r="C384">
        <v>0</v>
      </c>
      <c r="D384">
        <v>0.7142857142857143</v>
      </c>
      <c r="E384">
        <v>0.2857142857142857</v>
      </c>
      <c r="F384">
        <v>0</v>
      </c>
      <c r="G384">
        <v>0</v>
      </c>
      <c r="H384">
        <v>0</v>
      </c>
      <c r="I384">
        <v>0.1</v>
      </c>
      <c r="J384">
        <v>0.04</v>
      </c>
      <c r="K384">
        <v>0</v>
      </c>
      <c r="L384">
        <v>0</v>
      </c>
      <c r="M384">
        <v>0</v>
      </c>
      <c r="N384">
        <f t="shared" si="23"/>
        <v>23.571428571428573</v>
      </c>
    </row>
    <row r="385" spans="1:14" x14ac:dyDescent="0.3">
      <c r="A385" t="s">
        <v>86</v>
      </c>
      <c r="B385" t="s">
        <v>13</v>
      </c>
      <c r="C385">
        <v>0</v>
      </c>
      <c r="D385">
        <v>0.625</v>
      </c>
      <c r="E385">
        <v>0.25</v>
      </c>
      <c r="F385">
        <v>0.125</v>
      </c>
      <c r="G385">
        <v>0</v>
      </c>
      <c r="H385">
        <v>0</v>
      </c>
      <c r="I385">
        <v>0.1</v>
      </c>
      <c r="J385">
        <v>0.04</v>
      </c>
      <c r="K385">
        <v>0.02</v>
      </c>
      <c r="L385">
        <v>0</v>
      </c>
      <c r="M385">
        <v>0</v>
      </c>
      <c r="N385">
        <f t="shared" si="23"/>
        <v>24</v>
      </c>
    </row>
    <row r="386" spans="1:14" x14ac:dyDescent="0.3">
      <c r="A386" t="s">
        <v>87</v>
      </c>
      <c r="B386" t="s">
        <v>15</v>
      </c>
      <c r="C386">
        <v>0</v>
      </c>
      <c r="D386">
        <v>3.9089719403796802E-3</v>
      </c>
      <c r="E386">
        <v>2.3385849521575824E-2</v>
      </c>
      <c r="F386">
        <v>5.8464623803939561E-2</v>
      </c>
      <c r="G386">
        <v>0.44120396335763701</v>
      </c>
      <c r="H386">
        <v>0.47303659137646797</v>
      </c>
      <c r="I386">
        <v>2.2999999999999998</v>
      </c>
      <c r="J386">
        <v>13.76</v>
      </c>
      <c r="K386">
        <v>34.4</v>
      </c>
      <c r="L386">
        <v>259.60000000000002</v>
      </c>
      <c r="M386">
        <v>278.33</v>
      </c>
      <c r="N386">
        <f t="shared" si="23"/>
        <v>29.712146705416476</v>
      </c>
    </row>
    <row r="387" spans="1:14" x14ac:dyDescent="0.3">
      <c r="A387" t="s">
        <v>87</v>
      </c>
      <c r="B387" t="s">
        <v>15</v>
      </c>
      <c r="C387">
        <v>0</v>
      </c>
      <c r="D387">
        <v>4.0847489979003622E-3</v>
      </c>
      <c r="E387">
        <v>3.157091047909906E-2</v>
      </c>
      <c r="F387">
        <v>8.1790418018705846E-2</v>
      </c>
      <c r="G387">
        <v>0.36401985111662527</v>
      </c>
      <c r="H387">
        <v>0.51853407138766938</v>
      </c>
      <c r="I387">
        <v>2.14</v>
      </c>
      <c r="J387">
        <v>16.54</v>
      </c>
      <c r="K387">
        <v>42.85</v>
      </c>
      <c r="L387">
        <v>190.71</v>
      </c>
      <c r="M387">
        <v>271.66000000000003</v>
      </c>
      <c r="N387">
        <f t="shared" si="23"/>
        <v>29.722695170834132</v>
      </c>
    </row>
    <row r="388" spans="1:14" x14ac:dyDescent="0.3">
      <c r="A388" t="s">
        <v>87</v>
      </c>
      <c r="B388" t="s">
        <v>15</v>
      </c>
      <c r="C388">
        <v>0</v>
      </c>
      <c r="D388">
        <v>1.6208980543921964E-2</v>
      </c>
      <c r="E388">
        <v>6.0449027196098182E-2</v>
      </c>
      <c r="F388">
        <v>0.11103748078248424</v>
      </c>
      <c r="G388">
        <v>0.49389015533054126</v>
      </c>
      <c r="H388">
        <v>0.31841435614695435</v>
      </c>
      <c r="I388">
        <v>12.23</v>
      </c>
      <c r="J388">
        <v>45.61</v>
      </c>
      <c r="K388">
        <v>83.78</v>
      </c>
      <c r="L388">
        <v>372.65</v>
      </c>
      <c r="M388">
        <v>240.25</v>
      </c>
      <c r="N388">
        <f t="shared" si="23"/>
        <v>29.075703758681016</v>
      </c>
    </row>
    <row r="389" spans="1:14" x14ac:dyDescent="0.3">
      <c r="A389" t="s">
        <v>87</v>
      </c>
      <c r="B389" t="s">
        <v>15</v>
      </c>
      <c r="C389">
        <v>0</v>
      </c>
      <c r="D389">
        <v>0</v>
      </c>
      <c r="E389">
        <v>0</v>
      </c>
      <c r="F389">
        <v>0.1111111111111111</v>
      </c>
      <c r="G389">
        <v>0.44444444444444442</v>
      </c>
      <c r="H389">
        <v>0.44444444444444442</v>
      </c>
      <c r="I389">
        <v>0</v>
      </c>
      <c r="J389">
        <v>0</v>
      </c>
      <c r="K389">
        <v>10</v>
      </c>
      <c r="L389">
        <v>40</v>
      </c>
      <c r="M389">
        <v>40</v>
      </c>
      <c r="N389">
        <f t="shared" ref="N389:N452" si="30">(D389*23+E389*25+F389*27+G389*29+H389*31)/SUM(D389:H389)</f>
        <v>29.666666666666664</v>
      </c>
    </row>
    <row r="390" spans="1:14" x14ac:dyDescent="0.3">
      <c r="A390" t="s">
        <v>88</v>
      </c>
      <c r="B390" t="s">
        <v>15</v>
      </c>
      <c r="C390">
        <v>0</v>
      </c>
      <c r="D390">
        <v>3.6132661576978954E-2</v>
      </c>
      <c r="E390">
        <v>2.3748441669499999E-2</v>
      </c>
      <c r="F390">
        <v>3.271206173564533E-2</v>
      </c>
      <c r="G390">
        <v>0.63417096817399732</v>
      </c>
      <c r="H390">
        <v>0.27323586684387846</v>
      </c>
      <c r="I390">
        <v>35.07</v>
      </c>
      <c r="J390">
        <v>23.05</v>
      </c>
      <c r="K390">
        <v>31.75</v>
      </c>
      <c r="L390">
        <v>615.52</v>
      </c>
      <c r="M390">
        <v>265.2</v>
      </c>
      <c r="N390">
        <f t="shared" si="30"/>
        <v>29.169257874076592</v>
      </c>
    </row>
    <row r="391" spans="1:14" x14ac:dyDescent="0.3">
      <c r="A391" t="s">
        <v>134</v>
      </c>
      <c r="B391" t="s">
        <v>15</v>
      </c>
      <c r="C391">
        <v>0</v>
      </c>
      <c r="D391">
        <v>7.5895567698846395E-3</v>
      </c>
      <c r="E391">
        <v>2.2768670309653918E-2</v>
      </c>
      <c r="F391">
        <v>6.4966605950212516E-2</v>
      </c>
      <c r="G391">
        <v>0.36794171220400729</v>
      </c>
      <c r="H391">
        <v>0.53673345476624168</v>
      </c>
      <c r="I391">
        <v>0.5</v>
      </c>
      <c r="J391">
        <v>1.5</v>
      </c>
      <c r="K391">
        <v>4.28</v>
      </c>
      <c r="L391">
        <v>24.24</v>
      </c>
      <c r="M391">
        <v>35.36</v>
      </c>
      <c r="N391">
        <f t="shared" si="30"/>
        <v>29.806921675774134</v>
      </c>
    </row>
    <row r="392" spans="1:14" x14ac:dyDescent="0.3">
      <c r="A392" t="s">
        <v>89</v>
      </c>
      <c r="B392" t="s">
        <v>15</v>
      </c>
      <c r="C392">
        <v>0</v>
      </c>
      <c r="D392">
        <v>4.7688652984089735E-3</v>
      </c>
      <c r="E392">
        <v>1.1048240954127953E-2</v>
      </c>
      <c r="F392">
        <v>3.1330335972105466E-2</v>
      </c>
      <c r="G392">
        <v>0.57325753425265225</v>
      </c>
      <c r="H392">
        <v>0.37959502352270535</v>
      </c>
      <c r="I392">
        <v>21.5</v>
      </c>
      <c r="J392">
        <v>49.81</v>
      </c>
      <c r="K392">
        <v>141.25</v>
      </c>
      <c r="L392">
        <v>2584.48</v>
      </c>
      <c r="M392">
        <v>1711.37</v>
      </c>
      <c r="N392">
        <f t="shared" si="30"/>
        <v>29.623723219494231</v>
      </c>
    </row>
    <row r="393" spans="1:14" x14ac:dyDescent="0.3">
      <c r="A393" t="s">
        <v>89</v>
      </c>
      <c r="B393" t="s">
        <v>15</v>
      </c>
      <c r="C393">
        <v>0</v>
      </c>
      <c r="D393">
        <v>4.7524465852344464E-3</v>
      </c>
      <c r="E393">
        <v>1.457095298214013E-2</v>
      </c>
      <c r="F393">
        <v>4.2016130977749547E-2</v>
      </c>
      <c r="G393">
        <v>0.37953633490676042</v>
      </c>
      <c r="H393">
        <v>0.55912413454811549</v>
      </c>
      <c r="I393">
        <v>5.91</v>
      </c>
      <c r="J393">
        <v>18.12</v>
      </c>
      <c r="K393">
        <v>52.25</v>
      </c>
      <c r="L393">
        <v>471.98</v>
      </c>
      <c r="M393">
        <v>695.31</v>
      </c>
      <c r="N393">
        <f t="shared" si="30"/>
        <v>29.947417515700767</v>
      </c>
    </row>
    <row r="394" spans="1:14" x14ac:dyDescent="0.3">
      <c r="A394" t="s">
        <v>89</v>
      </c>
      <c r="B394" t="s">
        <v>15</v>
      </c>
      <c r="C394">
        <v>0</v>
      </c>
      <c r="D394">
        <v>4.6577465679762129E-3</v>
      </c>
      <c r="E394">
        <v>1.3799266147909155E-2</v>
      </c>
      <c r="F394">
        <v>5.0491870690200551E-2</v>
      </c>
      <c r="G394">
        <v>0.46152812045296387</v>
      </c>
      <c r="H394">
        <v>0.46952299614095022</v>
      </c>
      <c r="I394">
        <v>5.89</v>
      </c>
      <c r="J394">
        <v>17.45</v>
      </c>
      <c r="K394">
        <v>63.85</v>
      </c>
      <c r="L394">
        <v>583.63</v>
      </c>
      <c r="M394">
        <v>593.74</v>
      </c>
      <c r="N394">
        <f t="shared" si="30"/>
        <v>29.754918706902004</v>
      </c>
    </row>
    <row r="395" spans="1:14" x14ac:dyDescent="0.3">
      <c r="A395" t="s">
        <v>89</v>
      </c>
      <c r="B395" t="s">
        <v>15</v>
      </c>
      <c r="C395">
        <v>0</v>
      </c>
      <c r="D395">
        <v>5.2338170928357521E-3</v>
      </c>
      <c r="E395">
        <v>1.2918682331260077E-2</v>
      </c>
      <c r="F395">
        <v>4.1713890808569458E-2</v>
      </c>
      <c r="G395">
        <v>0.39992628426629806</v>
      </c>
      <c r="H395">
        <v>0.54020732550103667</v>
      </c>
      <c r="I395">
        <v>5.68</v>
      </c>
      <c r="J395">
        <v>14.02</v>
      </c>
      <c r="K395">
        <v>45.27</v>
      </c>
      <c r="L395">
        <v>434.02</v>
      </c>
      <c r="M395">
        <v>586.26</v>
      </c>
      <c r="N395">
        <f t="shared" si="30"/>
        <v>29.913909237502878</v>
      </c>
    </row>
    <row r="396" spans="1:14" x14ac:dyDescent="0.3">
      <c r="A396" t="s">
        <v>89</v>
      </c>
      <c r="B396" t="s">
        <v>15</v>
      </c>
      <c r="C396">
        <v>0</v>
      </c>
      <c r="D396">
        <v>2.7358327689018156E-3</v>
      </c>
      <c r="E396">
        <v>8.5129553634274938E-3</v>
      </c>
      <c r="F396">
        <v>3.4436962960011683E-2</v>
      </c>
      <c r="G396">
        <v>0.30290715433549809</v>
      </c>
      <c r="H396">
        <v>0.65140709457216095</v>
      </c>
      <c r="I396">
        <v>2.06</v>
      </c>
      <c r="J396">
        <v>6.41</v>
      </c>
      <c r="K396">
        <v>25.93</v>
      </c>
      <c r="L396">
        <v>228.08</v>
      </c>
      <c r="M396">
        <v>490.49</v>
      </c>
      <c r="N396">
        <f t="shared" si="30"/>
        <v>30.18347344515718</v>
      </c>
    </row>
    <row r="397" spans="1:14" x14ac:dyDescent="0.3">
      <c r="A397" t="s">
        <v>89</v>
      </c>
      <c r="B397" t="s">
        <v>15</v>
      </c>
      <c r="C397">
        <v>0</v>
      </c>
      <c r="D397">
        <v>8.2329829973268875E-3</v>
      </c>
      <c r="E397">
        <v>4.147755991058355E-2</v>
      </c>
      <c r="F397">
        <v>0.16690549265023893</v>
      </c>
      <c r="G397">
        <v>0.56983184913840268</v>
      </c>
      <c r="H397">
        <v>0.21355211530344795</v>
      </c>
      <c r="I397">
        <v>15.8</v>
      </c>
      <c r="J397">
        <v>79.599999999999994</v>
      </c>
      <c r="K397">
        <v>320.31</v>
      </c>
      <c r="L397">
        <v>1093.57</v>
      </c>
      <c r="M397">
        <v>409.83</v>
      </c>
      <c r="N397">
        <f t="shared" si="30"/>
        <v>28.877985107680125</v>
      </c>
    </row>
    <row r="398" spans="1:14" x14ac:dyDescent="0.3">
      <c r="A398" t="s">
        <v>89</v>
      </c>
      <c r="B398" t="s">
        <v>15</v>
      </c>
      <c r="C398">
        <v>0</v>
      </c>
      <c r="D398">
        <v>0</v>
      </c>
      <c r="E398">
        <v>0</v>
      </c>
      <c r="F398">
        <v>0.3</v>
      </c>
      <c r="G398">
        <v>0.5</v>
      </c>
      <c r="H398">
        <v>0.2</v>
      </c>
      <c r="I398">
        <v>0</v>
      </c>
      <c r="J398">
        <v>0</v>
      </c>
      <c r="K398">
        <v>30</v>
      </c>
      <c r="L398">
        <v>50</v>
      </c>
      <c r="M398">
        <v>20</v>
      </c>
      <c r="N398">
        <f t="shared" si="30"/>
        <v>28.8</v>
      </c>
    </row>
    <row r="399" spans="1:14" x14ac:dyDescent="0.3">
      <c r="A399" t="s">
        <v>89</v>
      </c>
      <c r="B399" t="s">
        <v>15</v>
      </c>
      <c r="C399">
        <v>0</v>
      </c>
      <c r="D399">
        <v>0</v>
      </c>
      <c r="E399">
        <v>0</v>
      </c>
      <c r="F399">
        <v>0.33333333333333331</v>
      </c>
      <c r="G399">
        <v>0.55555555555555558</v>
      </c>
      <c r="H399">
        <v>0.1111111111111111</v>
      </c>
      <c r="I399">
        <v>0</v>
      </c>
      <c r="J399">
        <v>0</v>
      </c>
      <c r="K399">
        <v>30</v>
      </c>
      <c r="L399">
        <v>50</v>
      </c>
      <c r="M399">
        <v>10</v>
      </c>
      <c r="N399">
        <f t="shared" si="30"/>
        <v>28.555555555555554</v>
      </c>
    </row>
    <row r="400" spans="1:14" x14ac:dyDescent="0.3">
      <c r="A400" t="s">
        <v>89</v>
      </c>
      <c r="B400" t="s">
        <v>15</v>
      </c>
      <c r="C400">
        <v>0</v>
      </c>
      <c r="D400">
        <v>0</v>
      </c>
      <c r="E400">
        <v>0</v>
      </c>
      <c r="F400">
        <v>0.33333333333333331</v>
      </c>
      <c r="G400">
        <v>0.55555555555555558</v>
      </c>
      <c r="H400">
        <v>0.1111111111111111</v>
      </c>
      <c r="I400">
        <v>0</v>
      </c>
      <c r="J400">
        <v>0</v>
      </c>
      <c r="K400">
        <v>30</v>
      </c>
      <c r="L400">
        <v>50</v>
      </c>
      <c r="M400">
        <v>10</v>
      </c>
      <c r="N400">
        <f t="shared" si="30"/>
        <v>28.555555555555554</v>
      </c>
    </row>
    <row r="401" spans="1:14" x14ac:dyDescent="0.3">
      <c r="A401" t="s">
        <v>89</v>
      </c>
      <c r="B401" t="s">
        <v>15</v>
      </c>
      <c r="C401">
        <v>0</v>
      </c>
      <c r="D401">
        <v>8.9195674096741659E-3</v>
      </c>
      <c r="E401">
        <v>2.7628055777723686E-2</v>
      </c>
      <c r="F401">
        <v>0.10136662377855826</v>
      </c>
      <c r="G401">
        <v>0.86118162534339471</v>
      </c>
      <c r="H401">
        <v>9.0412769064923324E-4</v>
      </c>
      <c r="I401">
        <v>5.13</v>
      </c>
      <c r="J401">
        <v>15.89</v>
      </c>
      <c r="K401">
        <v>58.3</v>
      </c>
      <c r="L401">
        <v>495.3</v>
      </c>
      <c r="M401">
        <v>0.52</v>
      </c>
      <c r="N401">
        <f t="shared" si="30"/>
        <v>28.635045380255246</v>
      </c>
    </row>
    <row r="402" spans="1:14" x14ac:dyDescent="0.3">
      <c r="A402" t="s">
        <v>90</v>
      </c>
      <c r="B402" t="s">
        <v>15</v>
      </c>
      <c r="C402">
        <v>0</v>
      </c>
      <c r="D402">
        <v>9.0909090909090912E-2</v>
      </c>
      <c r="E402">
        <v>9.0909090909090912E-2</v>
      </c>
      <c r="F402">
        <v>9.0909090909090912E-2</v>
      </c>
      <c r="G402">
        <v>0.45454545454545453</v>
      </c>
      <c r="H402">
        <v>0.27272727272727271</v>
      </c>
      <c r="I402">
        <v>10</v>
      </c>
      <c r="J402">
        <v>10</v>
      </c>
      <c r="K402">
        <v>10</v>
      </c>
      <c r="L402">
        <v>50</v>
      </c>
      <c r="M402">
        <v>30</v>
      </c>
      <c r="N402">
        <f t="shared" si="30"/>
        <v>28.454545454545453</v>
      </c>
    </row>
    <row r="403" spans="1:14" x14ac:dyDescent="0.3">
      <c r="A403" t="s">
        <v>90</v>
      </c>
      <c r="B403" t="s">
        <v>15</v>
      </c>
      <c r="C403">
        <v>0</v>
      </c>
      <c r="D403">
        <v>0.1</v>
      </c>
      <c r="E403">
        <v>0.1</v>
      </c>
      <c r="F403">
        <v>0.1</v>
      </c>
      <c r="G403">
        <v>0.5</v>
      </c>
      <c r="H403">
        <v>0.2</v>
      </c>
      <c r="I403">
        <v>10</v>
      </c>
      <c r="J403">
        <v>10</v>
      </c>
      <c r="K403">
        <v>10</v>
      </c>
      <c r="L403">
        <v>50</v>
      </c>
      <c r="M403">
        <v>20</v>
      </c>
      <c r="N403">
        <f t="shared" si="30"/>
        <v>28.2</v>
      </c>
    </row>
    <row r="404" spans="1:14" x14ac:dyDescent="0.3">
      <c r="A404" t="s">
        <v>126</v>
      </c>
      <c r="B404" t="s">
        <v>15</v>
      </c>
      <c r="C404">
        <v>0</v>
      </c>
      <c r="D404">
        <v>7.6624815361890697E-2</v>
      </c>
      <c r="E404">
        <v>0.13367799113737075</v>
      </c>
      <c r="F404">
        <v>0.19922451994091578</v>
      </c>
      <c r="G404">
        <v>0.51994091580502211</v>
      </c>
      <c r="H404">
        <v>7.0531757754800584E-2</v>
      </c>
      <c r="I404">
        <v>4.1500000000000004</v>
      </c>
      <c r="J404">
        <v>7.24</v>
      </c>
      <c r="K404">
        <v>10.79</v>
      </c>
      <c r="L404">
        <v>28.16</v>
      </c>
      <c r="M404">
        <v>3.82</v>
      </c>
      <c r="N404">
        <f t="shared" si="30"/>
        <v>27.748153618906944</v>
      </c>
    </row>
    <row r="405" spans="1:14" x14ac:dyDescent="0.3">
      <c r="A405" t="s">
        <v>91</v>
      </c>
      <c r="B405" t="s">
        <v>34</v>
      </c>
      <c r="C405">
        <v>0</v>
      </c>
      <c r="D405">
        <v>0.16727453580901858</v>
      </c>
      <c r="E405">
        <v>0.14124668435013263</v>
      </c>
      <c r="F405">
        <v>0.24519230769230771</v>
      </c>
      <c r="G405">
        <v>0.22579575596816978</v>
      </c>
      <c r="H405">
        <v>0.22049071618037139</v>
      </c>
      <c r="I405">
        <v>10.09</v>
      </c>
      <c r="J405">
        <v>8.52</v>
      </c>
      <c r="K405">
        <v>14.79</v>
      </c>
      <c r="L405">
        <v>13.62</v>
      </c>
      <c r="M405">
        <v>13.3</v>
      </c>
      <c r="N405">
        <f t="shared" si="30"/>
        <v>27.381962864721491</v>
      </c>
    </row>
    <row r="406" spans="1:14" x14ac:dyDescent="0.3">
      <c r="A406" t="s">
        <v>91</v>
      </c>
      <c r="B406" t="s">
        <v>34</v>
      </c>
      <c r="C406">
        <v>0</v>
      </c>
      <c r="D406">
        <v>0.22315010570824523</v>
      </c>
      <c r="E406">
        <v>0.19915433403805494</v>
      </c>
      <c r="F406">
        <v>0.28446088794926</v>
      </c>
      <c r="G406">
        <v>0.17283298097251584</v>
      </c>
      <c r="H406">
        <v>0.12040169133192388</v>
      </c>
      <c r="I406">
        <v>21.11</v>
      </c>
      <c r="J406">
        <v>18.84</v>
      </c>
      <c r="K406">
        <v>26.91</v>
      </c>
      <c r="L406">
        <v>16.350000000000001</v>
      </c>
      <c r="M406">
        <v>11.39</v>
      </c>
      <c r="N406">
        <f t="shared" si="30"/>
        <v>26.536363636363635</v>
      </c>
    </row>
    <row r="407" spans="1:14" x14ac:dyDescent="0.3">
      <c r="A407" t="s">
        <v>127</v>
      </c>
      <c r="B407" t="s">
        <v>15</v>
      </c>
      <c r="C407">
        <v>0</v>
      </c>
      <c r="D407">
        <v>7.5239234449760758E-2</v>
      </c>
      <c r="E407">
        <v>7.5239234449760758E-2</v>
      </c>
      <c r="F407">
        <v>0.30287081339712918</v>
      </c>
      <c r="G407">
        <v>0.53827751196172247</v>
      </c>
      <c r="H407">
        <v>8.3732057416267928E-3</v>
      </c>
      <c r="I407">
        <v>6.29</v>
      </c>
      <c r="J407">
        <v>6.29</v>
      </c>
      <c r="K407">
        <v>25.32</v>
      </c>
      <c r="L407">
        <v>45</v>
      </c>
      <c r="M407">
        <v>0.7</v>
      </c>
      <c r="N407">
        <f t="shared" si="30"/>
        <v>27.658612440191387</v>
      </c>
    </row>
    <row r="408" spans="1:14" x14ac:dyDescent="0.3">
      <c r="A408" t="s">
        <v>188</v>
      </c>
      <c r="B408" t="s">
        <v>112</v>
      </c>
      <c r="C408">
        <v>0</v>
      </c>
      <c r="D408">
        <v>1.6242893733991379E-3</v>
      </c>
      <c r="E408">
        <v>0.12734012202994521</v>
      </c>
      <c r="F408">
        <v>0.35276233314591532</v>
      </c>
      <c r="G408">
        <v>0.34105911996834715</v>
      </c>
      <c r="H408">
        <v>0.17721413548239309</v>
      </c>
      <c r="I408">
        <v>1.56</v>
      </c>
      <c r="J408">
        <v>122.3</v>
      </c>
      <c r="K408">
        <v>338.8</v>
      </c>
      <c r="L408">
        <v>327.56</v>
      </c>
      <c r="M408">
        <v>170.2</v>
      </c>
      <c r="N408">
        <f t="shared" si="30"/>
        <v>28.129797380312777</v>
      </c>
    </row>
    <row r="409" spans="1:14" x14ac:dyDescent="0.3">
      <c r="A409" t="s">
        <v>153</v>
      </c>
      <c r="B409" t="s">
        <v>149</v>
      </c>
      <c r="C409">
        <v>0</v>
      </c>
      <c r="D409">
        <f>I409/SUM($I409:$M409)</f>
        <v>0.57312768777215817</v>
      </c>
      <c r="E409">
        <f>J409/SUM($I409:$M409)</f>
        <v>0.20386160170935552</v>
      </c>
      <c r="F409">
        <f>K409/SUM($I409:$M409)</f>
        <v>0.16004584426473376</v>
      </c>
      <c r="G409">
        <f>L409/SUM($I409:$M409)</f>
        <v>5.7095718497281817E-2</v>
      </c>
      <c r="H409">
        <f>M409/SUM($I409:$M409)</f>
        <v>5.8691477564709396E-3</v>
      </c>
      <c r="I409">
        <v>169.52199999999999</v>
      </c>
      <c r="J409">
        <v>60.298999999999999</v>
      </c>
      <c r="K409">
        <v>47.338999999999999</v>
      </c>
      <c r="L409">
        <v>16.888000000000002</v>
      </c>
      <c r="M409">
        <v>1.736</v>
      </c>
      <c r="N409">
        <f t="shared" si="30"/>
        <v>24.437434073513106</v>
      </c>
    </row>
    <row r="410" spans="1:14" x14ac:dyDescent="0.3">
      <c r="A410" t="s">
        <v>92</v>
      </c>
      <c r="B410" t="s">
        <v>15</v>
      </c>
      <c r="C410" t="s">
        <v>16</v>
      </c>
      <c r="D410">
        <v>0.1</v>
      </c>
      <c r="E410">
        <v>0.8</v>
      </c>
      <c r="F410">
        <v>0.1</v>
      </c>
      <c r="G410">
        <v>0</v>
      </c>
      <c r="H410">
        <v>0</v>
      </c>
      <c r="I410">
        <v>10</v>
      </c>
      <c r="J410">
        <v>80</v>
      </c>
      <c r="K410">
        <v>10</v>
      </c>
      <c r="L410">
        <v>0</v>
      </c>
      <c r="M410">
        <v>0</v>
      </c>
      <c r="N410">
        <f t="shared" si="30"/>
        <v>25</v>
      </c>
    </row>
    <row r="411" spans="1:14" x14ac:dyDescent="0.3">
      <c r="A411" t="s">
        <v>92</v>
      </c>
      <c r="B411" t="s">
        <v>15</v>
      </c>
      <c r="C411" t="s">
        <v>16</v>
      </c>
      <c r="D411">
        <v>0.2</v>
      </c>
      <c r="E411">
        <v>0.7</v>
      </c>
      <c r="F411">
        <v>0.1</v>
      </c>
      <c r="G411">
        <v>0</v>
      </c>
      <c r="H411">
        <v>0</v>
      </c>
      <c r="I411">
        <v>20</v>
      </c>
      <c r="J411">
        <v>70</v>
      </c>
      <c r="K411">
        <v>10</v>
      </c>
      <c r="L411">
        <v>0</v>
      </c>
      <c r="M411">
        <v>0</v>
      </c>
      <c r="N411">
        <f t="shared" si="30"/>
        <v>24.800000000000004</v>
      </c>
    </row>
    <row r="412" spans="1:14" x14ac:dyDescent="0.3">
      <c r="A412" t="s">
        <v>92</v>
      </c>
      <c r="B412" t="s">
        <v>15</v>
      </c>
      <c r="C412" t="s">
        <v>16</v>
      </c>
      <c r="D412">
        <v>0.2</v>
      </c>
      <c r="E412">
        <v>0.7</v>
      </c>
      <c r="F412">
        <v>0.1</v>
      </c>
      <c r="G412">
        <v>0</v>
      </c>
      <c r="H412">
        <v>0</v>
      </c>
      <c r="I412">
        <v>20</v>
      </c>
      <c r="J412">
        <v>70</v>
      </c>
      <c r="K412">
        <v>10</v>
      </c>
      <c r="L412">
        <v>0</v>
      </c>
      <c r="M412">
        <v>0</v>
      </c>
      <c r="N412">
        <f t="shared" si="30"/>
        <v>24.800000000000004</v>
      </c>
    </row>
    <row r="413" spans="1:14" x14ac:dyDescent="0.3">
      <c r="A413" t="s">
        <v>92</v>
      </c>
      <c r="B413" t="s">
        <v>15</v>
      </c>
      <c r="C413" t="s">
        <v>16</v>
      </c>
      <c r="D413">
        <v>0.1111111111111111</v>
      </c>
      <c r="E413">
        <v>0.88888888888888884</v>
      </c>
      <c r="F413">
        <v>0</v>
      </c>
      <c r="G413">
        <v>0</v>
      </c>
      <c r="H413">
        <v>0</v>
      </c>
      <c r="I413">
        <v>10</v>
      </c>
      <c r="J413">
        <v>80</v>
      </c>
      <c r="K413">
        <v>0</v>
      </c>
      <c r="L413">
        <v>0</v>
      </c>
      <c r="M413">
        <v>0</v>
      </c>
      <c r="N413">
        <f t="shared" si="30"/>
        <v>24.777777777777779</v>
      </c>
    </row>
    <row r="414" spans="1:14" x14ac:dyDescent="0.3">
      <c r="A414" t="s">
        <v>92</v>
      </c>
      <c r="B414" t="s">
        <v>15</v>
      </c>
      <c r="C414" t="s">
        <v>16</v>
      </c>
      <c r="D414">
        <v>0.2</v>
      </c>
      <c r="E414">
        <v>0.7</v>
      </c>
      <c r="F414">
        <v>0.1</v>
      </c>
      <c r="G414">
        <v>0</v>
      </c>
      <c r="H414">
        <v>0</v>
      </c>
      <c r="I414">
        <v>20</v>
      </c>
      <c r="J414">
        <v>70</v>
      </c>
      <c r="K414">
        <v>10</v>
      </c>
      <c r="L414">
        <v>0</v>
      </c>
      <c r="M414">
        <v>0</v>
      </c>
      <c r="N414">
        <f t="shared" si="30"/>
        <v>24.800000000000004</v>
      </c>
    </row>
    <row r="415" spans="1:14" x14ac:dyDescent="0.3">
      <c r="A415" t="s">
        <v>93</v>
      </c>
      <c r="B415" t="s">
        <v>15</v>
      </c>
      <c r="C415">
        <v>0</v>
      </c>
      <c r="D415">
        <v>4.6915725456125101E-2</v>
      </c>
      <c r="E415">
        <v>0.19908154399900704</v>
      </c>
      <c r="F415">
        <v>0.57353853791733889</v>
      </c>
      <c r="G415">
        <v>0.15551694178974804</v>
      </c>
      <c r="H415">
        <v>2.4947250837780807E-2</v>
      </c>
      <c r="I415">
        <v>3.78</v>
      </c>
      <c r="J415">
        <v>16.04</v>
      </c>
      <c r="K415">
        <v>46.21</v>
      </c>
      <c r="L415">
        <v>12.53</v>
      </c>
      <c r="M415">
        <v>2.0099999999999998</v>
      </c>
      <c r="N415">
        <f t="shared" si="30"/>
        <v>26.824996897108107</v>
      </c>
    </row>
    <row r="416" spans="1:14" x14ac:dyDescent="0.3">
      <c r="A416" t="s">
        <v>93</v>
      </c>
      <c r="B416" t="s">
        <v>15</v>
      </c>
      <c r="C416">
        <v>0</v>
      </c>
      <c r="D416">
        <v>6.1538461538461547E-3</v>
      </c>
      <c r="E416">
        <v>0.23824175824175825</v>
      </c>
      <c r="F416">
        <v>0.69274725274725268</v>
      </c>
      <c r="G416">
        <v>3.9560439560439559E-2</v>
      </c>
      <c r="H416">
        <v>2.3296703296703299E-2</v>
      </c>
      <c r="I416">
        <v>0.14000000000000001</v>
      </c>
      <c r="J416">
        <v>5.42</v>
      </c>
      <c r="K416">
        <v>15.76</v>
      </c>
      <c r="L416">
        <v>0.9</v>
      </c>
      <c r="M416">
        <v>0.53</v>
      </c>
      <c r="N416">
        <f t="shared" si="30"/>
        <v>26.671208791208795</v>
      </c>
    </row>
    <row r="417" spans="1:14" x14ac:dyDescent="0.3">
      <c r="A417" t="s">
        <v>93</v>
      </c>
      <c r="B417" t="s">
        <v>15</v>
      </c>
      <c r="C417">
        <v>0</v>
      </c>
      <c r="D417">
        <v>3.0555889062312405E-2</v>
      </c>
      <c r="E417">
        <v>0.17985352383239286</v>
      </c>
      <c r="F417">
        <v>0.67619161964221397</v>
      </c>
      <c r="G417">
        <v>0.11129787489494537</v>
      </c>
      <c r="H417">
        <v>2.1010925681354303E-3</v>
      </c>
      <c r="I417">
        <v>5.09</v>
      </c>
      <c r="J417">
        <v>29.96</v>
      </c>
      <c r="K417">
        <v>112.64</v>
      </c>
      <c r="L417">
        <v>18.54</v>
      </c>
      <c r="M417">
        <v>0.35</v>
      </c>
      <c r="N417">
        <f t="shared" si="30"/>
        <v>26.749069516148396</v>
      </c>
    </row>
    <row r="418" spans="1:14" x14ac:dyDescent="0.3">
      <c r="A418" t="s">
        <v>93</v>
      </c>
      <c r="B418" t="s">
        <v>15</v>
      </c>
      <c r="C418">
        <v>0</v>
      </c>
      <c r="D418">
        <v>4.8228220544966095E-2</v>
      </c>
      <c r="E418">
        <v>0.23500063963157222</v>
      </c>
      <c r="F418">
        <v>0.60381220417039783</v>
      </c>
      <c r="G418">
        <v>0.11193552513752078</v>
      </c>
      <c r="H418">
        <v>1.0234105155430473E-3</v>
      </c>
      <c r="I418">
        <v>3.77</v>
      </c>
      <c r="J418">
        <v>18.37</v>
      </c>
      <c r="K418">
        <v>47.2</v>
      </c>
      <c r="L418">
        <v>8.75</v>
      </c>
      <c r="M418">
        <v>0.08</v>
      </c>
      <c r="N418">
        <f t="shared" si="30"/>
        <v>26.565050530894208</v>
      </c>
    </row>
    <row r="419" spans="1:14" x14ac:dyDescent="0.3">
      <c r="A419" t="s">
        <v>94</v>
      </c>
      <c r="B419" t="s">
        <v>15</v>
      </c>
      <c r="C419" t="s">
        <v>16</v>
      </c>
      <c r="D419">
        <v>1.3726299813634792E-3</v>
      </c>
      <c r="E419">
        <v>3.8054213304467188E-3</v>
      </c>
      <c r="F419">
        <v>3.062192413708445E-2</v>
      </c>
      <c r="G419">
        <v>0.52151011617136678</v>
      </c>
      <c r="H419">
        <v>0.44268990837973871</v>
      </c>
      <c r="I419">
        <v>1.23</v>
      </c>
      <c r="J419">
        <v>3.41</v>
      </c>
      <c r="K419">
        <v>27.44</v>
      </c>
      <c r="L419">
        <v>467.32</v>
      </c>
      <c r="M419">
        <v>396.69</v>
      </c>
      <c r="N419">
        <f t="shared" si="30"/>
        <v>29.800678503275336</v>
      </c>
    </row>
    <row r="420" spans="1:14" x14ac:dyDescent="0.3">
      <c r="A420" t="s">
        <v>94</v>
      </c>
      <c r="B420" t="s">
        <v>15</v>
      </c>
      <c r="C420" t="s">
        <v>16</v>
      </c>
      <c r="D420">
        <v>1.0022631749110895E-2</v>
      </c>
      <c r="E420">
        <v>8.3414161008729393E-2</v>
      </c>
      <c r="F420">
        <v>0.16068541868735856</v>
      </c>
      <c r="G420">
        <v>0.68638861946330421</v>
      </c>
      <c r="H420">
        <v>5.948916909149693E-2</v>
      </c>
      <c r="I420">
        <v>31</v>
      </c>
      <c r="J420">
        <v>258</v>
      </c>
      <c r="K420">
        <v>497</v>
      </c>
      <c r="L420">
        <v>2123</v>
      </c>
      <c r="M420">
        <v>184</v>
      </c>
      <c r="N420">
        <f t="shared" si="30"/>
        <v>28.403815066278693</v>
      </c>
    </row>
    <row r="421" spans="1:14" x14ac:dyDescent="0.3">
      <c r="A421" t="s">
        <v>94</v>
      </c>
      <c r="B421" t="s">
        <v>15</v>
      </c>
      <c r="C421" t="s">
        <v>16</v>
      </c>
      <c r="D421">
        <v>0.10229331277702831</v>
      </c>
      <c r="E421">
        <v>0.24501830795914431</v>
      </c>
      <c r="F421">
        <v>0.27003276161110035</v>
      </c>
      <c r="G421">
        <v>0.25920215841202537</v>
      </c>
      <c r="H421">
        <v>0.12345345924070146</v>
      </c>
      <c r="I421">
        <v>26.54</v>
      </c>
      <c r="J421">
        <v>63.57</v>
      </c>
      <c r="K421">
        <v>70.06</v>
      </c>
      <c r="L421">
        <v>67.25</v>
      </c>
      <c r="M421">
        <v>32.03</v>
      </c>
      <c r="N421">
        <f t="shared" si="30"/>
        <v>27.113008286760454</v>
      </c>
    </row>
    <row r="422" spans="1:14" x14ac:dyDescent="0.3">
      <c r="A422" t="s">
        <v>94</v>
      </c>
      <c r="B422" t="s">
        <v>15</v>
      </c>
      <c r="C422" t="s">
        <v>16</v>
      </c>
      <c r="D422">
        <v>6.8333127851066461E-2</v>
      </c>
      <c r="E422">
        <v>0.24790408087782026</v>
      </c>
      <c r="F422">
        <v>0.57687091603994578</v>
      </c>
      <c r="G422">
        <v>9.2990999876710639E-2</v>
      </c>
      <c r="H422">
        <v>1.390087535445691E-2</v>
      </c>
      <c r="I422">
        <v>22.17</v>
      </c>
      <c r="J422">
        <v>80.430000000000007</v>
      </c>
      <c r="K422">
        <v>187.16</v>
      </c>
      <c r="L422">
        <v>30.17</v>
      </c>
      <c r="M422">
        <v>4.51</v>
      </c>
      <c r="N422">
        <f t="shared" si="30"/>
        <v>26.472444828011341</v>
      </c>
    </row>
    <row r="423" spans="1:14" x14ac:dyDescent="0.3">
      <c r="A423" t="s">
        <v>94</v>
      </c>
      <c r="B423" t="s">
        <v>15</v>
      </c>
      <c r="C423" t="s">
        <v>16</v>
      </c>
      <c r="D423">
        <v>3.1138672648106613E-2</v>
      </c>
      <c r="E423">
        <v>0.13880459163478032</v>
      </c>
      <c r="F423">
        <v>0.67967409948542035</v>
      </c>
      <c r="G423">
        <v>0.13860667634252544</v>
      </c>
      <c r="H423">
        <v>1.1775959889167437E-2</v>
      </c>
      <c r="I423">
        <v>9.44</v>
      </c>
      <c r="J423">
        <v>42.08</v>
      </c>
      <c r="K423">
        <v>206.05</v>
      </c>
      <c r="L423">
        <v>42.02</v>
      </c>
      <c r="M423">
        <v>3.57</v>
      </c>
      <c r="N423">
        <f t="shared" si="30"/>
        <v>26.922153318379731</v>
      </c>
    </row>
    <row r="424" spans="1:14" x14ac:dyDescent="0.3">
      <c r="A424" t="s">
        <v>94</v>
      </c>
      <c r="B424" t="s">
        <v>15</v>
      </c>
      <c r="C424" t="s">
        <v>16</v>
      </c>
      <c r="D424">
        <v>6.6370788783538415E-2</v>
      </c>
      <c r="E424">
        <v>0.2821118764229516</v>
      </c>
      <c r="F424">
        <v>0.55278250093662629</v>
      </c>
      <c r="G424">
        <v>9.0895991238940585E-2</v>
      </c>
      <c r="H424">
        <v>7.8388426179428795E-3</v>
      </c>
      <c r="I424">
        <v>23.03</v>
      </c>
      <c r="J424">
        <v>97.89</v>
      </c>
      <c r="K424">
        <v>191.81</v>
      </c>
      <c r="L424">
        <v>31.54</v>
      </c>
      <c r="M424">
        <v>2.72</v>
      </c>
      <c r="N424">
        <f t="shared" si="30"/>
        <v>26.383440444969594</v>
      </c>
    </row>
    <row r="425" spans="1:14" x14ac:dyDescent="0.3">
      <c r="A425" t="s">
        <v>94</v>
      </c>
      <c r="B425" t="s">
        <v>15</v>
      </c>
      <c r="C425" t="s">
        <v>16</v>
      </c>
      <c r="D425">
        <v>0.12893563666759544</v>
      </c>
      <c r="E425">
        <v>0.27640011145165788</v>
      </c>
      <c r="F425">
        <v>0.51019318287359527</v>
      </c>
      <c r="G425">
        <v>7.8271570539611784E-2</v>
      </c>
      <c r="H425">
        <v>6.1994984675397052E-3</v>
      </c>
      <c r="I425">
        <v>55.53</v>
      </c>
      <c r="J425">
        <v>119.04</v>
      </c>
      <c r="K425">
        <v>219.73</v>
      </c>
      <c r="L425">
        <v>33.71</v>
      </c>
      <c r="M425">
        <v>2.67</v>
      </c>
      <c r="N425">
        <f t="shared" si="30"/>
        <v>26.112798365375689</v>
      </c>
    </row>
    <row r="426" spans="1:14" x14ac:dyDescent="0.3">
      <c r="A426" t="s">
        <v>94</v>
      </c>
      <c r="B426" t="s">
        <v>15</v>
      </c>
      <c r="C426" t="s">
        <v>16</v>
      </c>
      <c r="D426">
        <v>6.7435313044644049E-2</v>
      </c>
      <c r="E426">
        <v>0.1927425481521205</v>
      </c>
      <c r="F426">
        <v>0.61192295660723062</v>
      </c>
      <c r="G426">
        <v>0.11985520847298566</v>
      </c>
      <c r="H426">
        <v>8.0439737230191717E-3</v>
      </c>
      <c r="I426">
        <v>15.09</v>
      </c>
      <c r="J426">
        <v>43.13</v>
      </c>
      <c r="K426">
        <v>136.93</v>
      </c>
      <c r="L426">
        <v>26.82</v>
      </c>
      <c r="M426">
        <v>1.8</v>
      </c>
      <c r="N426">
        <f t="shared" si="30"/>
        <v>26.616659963355229</v>
      </c>
    </row>
    <row r="427" spans="1:14" x14ac:dyDescent="0.3">
      <c r="A427" t="s">
        <v>94</v>
      </c>
      <c r="B427" t="s">
        <v>15</v>
      </c>
      <c r="C427" t="s">
        <v>16</v>
      </c>
      <c r="D427">
        <v>7.2934047598138235E-2</v>
      </c>
      <c r="E427">
        <v>0.20527794853780629</v>
      </c>
      <c r="F427">
        <v>0.64283832440502331</v>
      </c>
      <c r="G427">
        <v>7.2802318433301136E-2</v>
      </c>
      <c r="H427">
        <v>6.1473610257310966E-3</v>
      </c>
      <c r="I427">
        <v>16.61</v>
      </c>
      <c r="J427">
        <v>46.75</v>
      </c>
      <c r="K427">
        <v>146.4</v>
      </c>
      <c r="L427">
        <v>16.579999999999998</v>
      </c>
      <c r="M427">
        <v>1.4</v>
      </c>
      <c r="N427">
        <f t="shared" si="30"/>
        <v>26.467901993501364</v>
      </c>
    </row>
    <row r="428" spans="1:14" x14ac:dyDescent="0.3">
      <c r="A428" t="s">
        <v>94</v>
      </c>
      <c r="B428" t="s">
        <v>15</v>
      </c>
      <c r="C428" t="s">
        <v>16</v>
      </c>
      <c r="D428">
        <v>0.14922491624552836</v>
      </c>
      <c r="E428">
        <v>0.33967406734427347</v>
      </c>
      <c r="F428">
        <v>0.43802169098858662</v>
      </c>
      <c r="G428">
        <v>6.535687922321276E-2</v>
      </c>
      <c r="H428">
        <v>7.722446198398728E-3</v>
      </c>
      <c r="I428">
        <v>26.28</v>
      </c>
      <c r="J428">
        <v>59.82</v>
      </c>
      <c r="K428">
        <v>77.14</v>
      </c>
      <c r="L428">
        <v>11.51</v>
      </c>
      <c r="M428">
        <v>1.36</v>
      </c>
      <c r="N428">
        <f t="shared" si="30"/>
        <v>25.885355743569363</v>
      </c>
    </row>
    <row r="429" spans="1:14" x14ac:dyDescent="0.3">
      <c r="A429" t="s">
        <v>94</v>
      </c>
      <c r="B429" t="s">
        <v>15</v>
      </c>
      <c r="C429" t="s">
        <v>16</v>
      </c>
      <c r="D429">
        <v>3.8064625274911182E-2</v>
      </c>
      <c r="E429">
        <v>0.11870523882027857</v>
      </c>
      <c r="F429">
        <v>0.69520103761348895</v>
      </c>
      <c r="G429">
        <v>0.1421079343596684</v>
      </c>
      <c r="H429">
        <v>5.9211639316528505E-3</v>
      </c>
      <c r="I429">
        <v>6.75</v>
      </c>
      <c r="J429">
        <v>21.05</v>
      </c>
      <c r="K429">
        <v>123.28</v>
      </c>
      <c r="L429">
        <v>25.2</v>
      </c>
      <c r="M429">
        <v>1.05</v>
      </c>
      <c r="N429">
        <f t="shared" si="30"/>
        <v>26.918231545705748</v>
      </c>
    </row>
    <row r="430" spans="1:14" x14ac:dyDescent="0.3">
      <c r="A430" t="s">
        <v>94</v>
      </c>
      <c r="B430" t="s">
        <v>15</v>
      </c>
      <c r="C430" t="s">
        <v>16</v>
      </c>
      <c r="D430">
        <v>0.14446610353043102</v>
      </c>
      <c r="E430">
        <v>0.24929607970543641</v>
      </c>
      <c r="F430">
        <v>0.53135152696556198</v>
      </c>
      <c r="G430">
        <v>7.0229586311457662E-2</v>
      </c>
      <c r="H430">
        <v>4.6567034871128439E-3</v>
      </c>
      <c r="I430">
        <v>26.68</v>
      </c>
      <c r="J430">
        <v>46.04</v>
      </c>
      <c r="K430">
        <v>98.13</v>
      </c>
      <c r="L430">
        <v>12.97</v>
      </c>
      <c r="M430">
        <v>0.86</v>
      </c>
      <c r="N430">
        <f t="shared" si="30"/>
        <v>26.082629413038767</v>
      </c>
    </row>
    <row r="431" spans="1:14" x14ac:dyDescent="0.3">
      <c r="A431" t="s">
        <v>94</v>
      </c>
      <c r="B431" t="s">
        <v>15</v>
      </c>
      <c r="C431" t="s">
        <v>16</v>
      </c>
      <c r="D431">
        <v>9.949604031677467E-2</v>
      </c>
      <c r="E431">
        <v>0.28416126709863215</v>
      </c>
      <c r="F431">
        <v>0.55010799136069122</v>
      </c>
      <c r="G431">
        <v>6.0979121670266395E-2</v>
      </c>
      <c r="H431">
        <v>5.25557955363571E-3</v>
      </c>
      <c r="I431">
        <v>13.82</v>
      </c>
      <c r="J431">
        <v>39.47</v>
      </c>
      <c r="K431">
        <v>76.41</v>
      </c>
      <c r="L431">
        <v>8.4700000000000006</v>
      </c>
      <c r="M431">
        <v>0.73</v>
      </c>
      <c r="N431">
        <f t="shared" si="30"/>
        <v>26.176673866090706</v>
      </c>
    </row>
    <row r="432" spans="1:14" x14ac:dyDescent="0.3">
      <c r="A432" t="s">
        <v>94</v>
      </c>
      <c r="B432" t="s">
        <v>15</v>
      </c>
      <c r="C432" t="s">
        <v>16</v>
      </c>
      <c r="D432">
        <v>5.7270158661160614E-2</v>
      </c>
      <c r="E432">
        <v>0.18441643121060639</v>
      </c>
      <c r="F432">
        <v>0.65735709628341665</v>
      </c>
      <c r="G432">
        <v>9.3240599869593571E-2</v>
      </c>
      <c r="H432">
        <v>7.7157139752227774E-3</v>
      </c>
      <c r="I432">
        <v>5.27</v>
      </c>
      <c r="J432">
        <v>16.97</v>
      </c>
      <c r="K432">
        <v>60.49</v>
      </c>
      <c r="L432">
        <v>8.58</v>
      </c>
      <c r="M432">
        <v>0.71</v>
      </c>
      <c r="N432">
        <f t="shared" si="30"/>
        <v>26.619430558574226</v>
      </c>
    </row>
    <row r="433" spans="1:14" x14ac:dyDescent="0.3">
      <c r="A433" t="s">
        <v>94</v>
      </c>
      <c r="B433" t="s">
        <v>15</v>
      </c>
      <c r="C433" t="s">
        <v>16</v>
      </c>
      <c r="D433">
        <v>8.6330283540175731E-2</v>
      </c>
      <c r="E433">
        <v>0.33626234260349669</v>
      </c>
      <c r="F433">
        <v>0.50674879971011866</v>
      </c>
      <c r="G433">
        <v>6.4226832140592438E-2</v>
      </c>
      <c r="H433">
        <v>6.4317420056164507E-3</v>
      </c>
      <c r="I433">
        <v>9.5299999999999994</v>
      </c>
      <c r="J433">
        <v>37.119999999999997</v>
      </c>
      <c r="K433">
        <v>55.94</v>
      </c>
      <c r="L433">
        <v>7.09</v>
      </c>
      <c r="M433">
        <v>0.71</v>
      </c>
      <c r="N433">
        <f t="shared" si="30"/>
        <v>26.136334812935953</v>
      </c>
    </row>
    <row r="434" spans="1:14" x14ac:dyDescent="0.3">
      <c r="A434" t="s">
        <v>94</v>
      </c>
      <c r="B434" t="s">
        <v>15</v>
      </c>
      <c r="C434" t="s">
        <v>16</v>
      </c>
      <c r="D434">
        <v>0.14486590301118049</v>
      </c>
      <c r="E434">
        <v>0.36051855408464234</v>
      </c>
      <c r="F434">
        <v>0.44118252280677683</v>
      </c>
      <c r="G434">
        <v>4.9386103299266071E-2</v>
      </c>
      <c r="H434">
        <v>4.0469167981343028E-3</v>
      </c>
      <c r="I434">
        <v>21.12</v>
      </c>
      <c r="J434">
        <v>52.56</v>
      </c>
      <c r="K434">
        <v>64.319999999999993</v>
      </c>
      <c r="L434">
        <v>7.2</v>
      </c>
      <c r="M434">
        <v>0.59</v>
      </c>
      <c r="N434">
        <f t="shared" si="30"/>
        <v>25.814459153577062</v>
      </c>
    </row>
    <row r="435" spans="1:14" x14ac:dyDescent="0.3">
      <c r="A435" t="s">
        <v>94</v>
      </c>
      <c r="B435" t="s">
        <v>15</v>
      </c>
      <c r="C435" t="s">
        <v>16</v>
      </c>
      <c r="D435">
        <v>0.5</v>
      </c>
      <c r="E435">
        <v>0.4</v>
      </c>
      <c r="F435">
        <v>0</v>
      </c>
      <c r="G435">
        <v>0.1</v>
      </c>
      <c r="H435">
        <v>0</v>
      </c>
      <c r="I435">
        <v>50</v>
      </c>
      <c r="J435">
        <v>40</v>
      </c>
      <c r="K435">
        <v>0</v>
      </c>
      <c r="L435">
        <v>10</v>
      </c>
      <c r="M435">
        <v>0</v>
      </c>
      <c r="N435">
        <f t="shared" si="30"/>
        <v>24.4</v>
      </c>
    </row>
    <row r="436" spans="1:14" x14ac:dyDescent="0.3">
      <c r="A436" t="s">
        <v>94</v>
      </c>
      <c r="B436" t="s">
        <v>15</v>
      </c>
      <c r="C436" t="s">
        <v>16</v>
      </c>
      <c r="D436">
        <v>0.1316740264953834</v>
      </c>
      <c r="E436">
        <v>0.26294660778803697</v>
      </c>
      <c r="F436">
        <v>0.5360631607118963</v>
      </c>
      <c r="G436">
        <v>6.9316205004683537E-2</v>
      </c>
      <c r="H436">
        <v>0</v>
      </c>
      <c r="I436">
        <v>9.84</v>
      </c>
      <c r="J436">
        <v>19.649999999999999</v>
      </c>
      <c r="K436">
        <v>40.06</v>
      </c>
      <c r="L436">
        <v>5.18</v>
      </c>
      <c r="M436">
        <v>0</v>
      </c>
      <c r="N436">
        <f t="shared" si="30"/>
        <v>26.086043088451756</v>
      </c>
    </row>
    <row r="437" spans="1:14" x14ac:dyDescent="0.3">
      <c r="A437" t="s">
        <v>94</v>
      </c>
      <c r="B437" t="s">
        <v>15</v>
      </c>
      <c r="C437" t="s">
        <v>16</v>
      </c>
      <c r="D437">
        <v>0.17947908445146013</v>
      </c>
      <c r="E437">
        <v>0.33338595106550911</v>
      </c>
      <c r="F437">
        <v>0.45098658247829521</v>
      </c>
      <c r="G437">
        <v>3.6148382004735594E-2</v>
      </c>
      <c r="H437">
        <v>0</v>
      </c>
      <c r="I437">
        <v>22.74</v>
      </c>
      <c r="J437">
        <v>42.24</v>
      </c>
      <c r="K437">
        <v>57.14</v>
      </c>
      <c r="L437">
        <v>4.58</v>
      </c>
      <c r="M437">
        <v>0</v>
      </c>
      <c r="N437">
        <f t="shared" si="30"/>
        <v>25.687608524072608</v>
      </c>
    </row>
    <row r="438" spans="1:14" x14ac:dyDescent="0.3">
      <c r="A438" t="s">
        <v>94</v>
      </c>
      <c r="B438" t="s">
        <v>15</v>
      </c>
      <c r="C438" t="s">
        <v>16</v>
      </c>
      <c r="D438">
        <v>0.12489568845618915</v>
      </c>
      <c r="E438">
        <v>0.35159944367176632</v>
      </c>
      <c r="F438">
        <v>0.47009735744089004</v>
      </c>
      <c r="G438">
        <v>5.3407510431154374E-2</v>
      </c>
      <c r="H438">
        <v>0</v>
      </c>
      <c r="I438">
        <v>8.98</v>
      </c>
      <c r="J438">
        <v>25.28</v>
      </c>
      <c r="K438">
        <v>33.799999999999997</v>
      </c>
      <c r="L438">
        <v>3.84</v>
      </c>
      <c r="M438">
        <v>0</v>
      </c>
      <c r="N438">
        <f t="shared" si="30"/>
        <v>25.90403337969402</v>
      </c>
    </row>
    <row r="439" spans="1:14" x14ac:dyDescent="0.3">
      <c r="A439" t="s">
        <v>94</v>
      </c>
      <c r="B439" t="s">
        <v>15</v>
      </c>
      <c r="C439" t="s">
        <v>16</v>
      </c>
      <c r="D439">
        <v>0.6</v>
      </c>
      <c r="E439">
        <v>0.4</v>
      </c>
      <c r="F439">
        <v>0</v>
      </c>
      <c r="G439">
        <v>0</v>
      </c>
      <c r="H439">
        <v>0</v>
      </c>
      <c r="I439">
        <v>60</v>
      </c>
      <c r="J439">
        <v>40</v>
      </c>
      <c r="K439">
        <v>0</v>
      </c>
      <c r="L439">
        <v>0</v>
      </c>
      <c r="M439">
        <v>0</v>
      </c>
      <c r="N439">
        <f t="shared" si="30"/>
        <v>23.799999999999997</v>
      </c>
    </row>
    <row r="440" spans="1:14" x14ac:dyDescent="0.3">
      <c r="A440" t="s">
        <v>94</v>
      </c>
      <c r="B440" t="s">
        <v>15</v>
      </c>
      <c r="C440" t="s">
        <v>16</v>
      </c>
      <c r="D440">
        <v>0.18181818181818182</v>
      </c>
      <c r="E440">
        <v>0.63636363636363635</v>
      </c>
      <c r="F440">
        <v>0.18181818181818182</v>
      </c>
      <c r="G440">
        <v>0</v>
      </c>
      <c r="H440">
        <v>0</v>
      </c>
      <c r="I440">
        <v>20</v>
      </c>
      <c r="J440">
        <v>70</v>
      </c>
      <c r="K440">
        <v>20</v>
      </c>
      <c r="L440">
        <v>0</v>
      </c>
      <c r="M440">
        <v>0</v>
      </c>
      <c r="N440">
        <f t="shared" si="30"/>
        <v>25</v>
      </c>
    </row>
    <row r="441" spans="1:14" x14ac:dyDescent="0.3">
      <c r="A441" t="s">
        <v>95</v>
      </c>
      <c r="B441" t="s">
        <v>15</v>
      </c>
      <c r="C441">
        <v>0</v>
      </c>
      <c r="D441">
        <v>8.9327241670268148E-2</v>
      </c>
      <c r="E441">
        <v>0.41590006379782263</v>
      </c>
      <c r="F441">
        <v>7.8810890905723283E-2</v>
      </c>
      <c r="G441">
        <v>0.38852873989010306</v>
      </c>
      <c r="H441">
        <v>2.7433063736082813E-2</v>
      </c>
      <c r="I441">
        <v>86.81</v>
      </c>
      <c r="J441">
        <v>404.18</v>
      </c>
      <c r="K441">
        <v>76.59</v>
      </c>
      <c r="L441">
        <v>377.58</v>
      </c>
      <c r="M441">
        <v>26.66</v>
      </c>
      <c r="N441">
        <f t="shared" si="30"/>
        <v>26.697680640447821</v>
      </c>
    </row>
    <row r="442" spans="1:14" x14ac:dyDescent="0.3">
      <c r="A442" t="s">
        <v>95</v>
      </c>
      <c r="B442" t="s">
        <v>15</v>
      </c>
      <c r="C442">
        <v>0</v>
      </c>
      <c r="D442">
        <v>3.575099942889777E-2</v>
      </c>
      <c r="E442">
        <v>0.14500285551113648</v>
      </c>
      <c r="F442">
        <v>0.65659623072529971</v>
      </c>
      <c r="G442">
        <v>0.15379782981153625</v>
      </c>
      <c r="H442">
        <v>8.8520845231296399E-3</v>
      </c>
      <c r="I442">
        <v>6.26</v>
      </c>
      <c r="J442">
        <v>25.39</v>
      </c>
      <c r="K442">
        <v>114.97</v>
      </c>
      <c r="L442">
        <v>26.93</v>
      </c>
      <c r="M442">
        <v>1.55</v>
      </c>
      <c r="N442">
        <f t="shared" si="30"/>
        <v>26.909994288977728</v>
      </c>
    </row>
    <row r="443" spans="1:14" x14ac:dyDescent="0.3">
      <c r="A443" t="s">
        <v>96</v>
      </c>
      <c r="B443" t="s">
        <v>15</v>
      </c>
      <c r="C443">
        <v>0</v>
      </c>
      <c r="D443">
        <v>1.9760548645821226E-3</v>
      </c>
      <c r="E443">
        <v>3.3127978612112058E-2</v>
      </c>
      <c r="F443">
        <v>3.6266418691154247E-2</v>
      </c>
      <c r="G443">
        <v>0.28071602929210737</v>
      </c>
      <c r="H443">
        <v>0.6479135185400442</v>
      </c>
      <c r="I443">
        <v>0.17</v>
      </c>
      <c r="J443">
        <v>2.85</v>
      </c>
      <c r="K443">
        <v>3.12</v>
      </c>
      <c r="L443">
        <v>24.15</v>
      </c>
      <c r="M443">
        <v>55.74</v>
      </c>
      <c r="N443">
        <f t="shared" si="30"/>
        <v>30.078925956061838</v>
      </c>
    </row>
    <row r="444" spans="1:14" x14ac:dyDescent="0.3">
      <c r="A444" t="s">
        <v>96</v>
      </c>
      <c r="B444" t="s">
        <v>15</v>
      </c>
      <c r="C444">
        <v>0</v>
      </c>
      <c r="D444">
        <v>0.10025934053407051</v>
      </c>
      <c r="E444">
        <v>0.12804582632733905</v>
      </c>
      <c r="F444">
        <v>0.63187893641882076</v>
      </c>
      <c r="G444">
        <v>0.10994898686197954</v>
      </c>
      <c r="H444">
        <v>2.9866909857790194E-2</v>
      </c>
      <c r="I444">
        <v>35.18</v>
      </c>
      <c r="J444">
        <v>44.93</v>
      </c>
      <c r="K444">
        <v>221.72</v>
      </c>
      <c r="L444">
        <v>38.58</v>
      </c>
      <c r="M444">
        <v>10.48</v>
      </c>
      <c r="N444">
        <f t="shared" si="30"/>
        <v>26.68223659836416</v>
      </c>
    </row>
    <row r="445" spans="1:14" x14ac:dyDescent="0.3">
      <c r="A445" t="s">
        <v>128</v>
      </c>
      <c r="B445" t="s">
        <v>16</v>
      </c>
      <c r="C445" t="s">
        <v>15</v>
      </c>
      <c r="D445">
        <v>0</v>
      </c>
      <c r="E445">
        <v>0</v>
      </c>
      <c r="F445">
        <v>0.52599919099129655</v>
      </c>
      <c r="G445">
        <v>0.46200921226039632</v>
      </c>
      <c r="H445">
        <v>1.1991596748306951E-2</v>
      </c>
      <c r="I445">
        <v>0</v>
      </c>
      <c r="J445">
        <v>0</v>
      </c>
      <c r="K445">
        <v>403.11</v>
      </c>
      <c r="L445">
        <v>354.07</v>
      </c>
      <c r="M445">
        <v>9.19</v>
      </c>
      <c r="N445">
        <f t="shared" si="30"/>
        <v>27.971984811514023</v>
      </c>
    </row>
    <row r="446" spans="1:14" x14ac:dyDescent="0.3">
      <c r="A446" t="s">
        <v>128</v>
      </c>
      <c r="B446" t="s">
        <v>16</v>
      </c>
      <c r="C446" t="s">
        <v>15</v>
      </c>
      <c r="D446">
        <v>1.9196516920641206E-2</v>
      </c>
      <c r="E446">
        <v>0.1610611726228296</v>
      </c>
      <c r="F446">
        <v>0.71171893716083201</v>
      </c>
      <c r="G446">
        <v>0.10802337329569719</v>
      </c>
      <c r="H446">
        <v>0</v>
      </c>
      <c r="I446">
        <v>18.43</v>
      </c>
      <c r="J446">
        <v>154.63</v>
      </c>
      <c r="K446">
        <v>683.3</v>
      </c>
      <c r="L446">
        <v>103.71</v>
      </c>
      <c r="M446">
        <v>0</v>
      </c>
      <c r="N446">
        <f t="shared" si="30"/>
        <v>26.81713833366317</v>
      </c>
    </row>
    <row r="447" spans="1:14" x14ac:dyDescent="0.3">
      <c r="A447" t="s">
        <v>128</v>
      </c>
      <c r="B447" t="s">
        <v>16</v>
      </c>
      <c r="C447" t="s">
        <v>15</v>
      </c>
      <c r="D447">
        <v>2.3689823278488727E-2</v>
      </c>
      <c r="E447">
        <v>0.11794129595774935</v>
      </c>
      <c r="F447">
        <v>0.80040117814340861</v>
      </c>
      <c r="G447">
        <v>5.7967702620353445E-2</v>
      </c>
      <c r="H447">
        <v>0</v>
      </c>
      <c r="I447">
        <v>9.33</v>
      </c>
      <c r="J447">
        <v>46.45</v>
      </c>
      <c r="K447">
        <v>315.23</v>
      </c>
      <c r="L447">
        <v>22.83</v>
      </c>
      <c r="M447">
        <v>0</v>
      </c>
      <c r="N447">
        <f t="shared" si="30"/>
        <v>26.785293520211255</v>
      </c>
    </row>
    <row r="448" spans="1:14" x14ac:dyDescent="0.3">
      <c r="A448" t="s">
        <v>128</v>
      </c>
      <c r="B448" t="s">
        <v>16</v>
      </c>
      <c r="C448" t="s">
        <v>15</v>
      </c>
      <c r="D448">
        <f>I448/SUM($I448:$M448)</f>
        <v>0.29347826086956524</v>
      </c>
      <c r="E448">
        <f>J448/SUM($I448:$M448)</f>
        <v>0.19565217391304349</v>
      </c>
      <c r="F448">
        <f>K448/SUM($I448:$M448)</f>
        <v>0.30434782608695654</v>
      </c>
      <c r="G448">
        <f>L448/SUM($I448:$M448)</f>
        <v>0.15217391304347827</v>
      </c>
      <c r="H448">
        <f>M448/SUM($I448:$M448)</f>
        <v>5.434782608695652E-2</v>
      </c>
      <c r="I448">
        <v>27</v>
      </c>
      <c r="J448">
        <v>18</v>
      </c>
      <c r="K448">
        <v>28</v>
      </c>
      <c r="L448">
        <v>14</v>
      </c>
      <c r="M448">
        <v>5</v>
      </c>
      <c r="N448">
        <f t="shared" si="30"/>
        <v>25.956521739130437</v>
      </c>
    </row>
    <row r="449" spans="1:14" x14ac:dyDescent="0.3">
      <c r="A449" t="s">
        <v>97</v>
      </c>
      <c r="B449" t="s">
        <v>15</v>
      </c>
      <c r="C449">
        <v>0</v>
      </c>
      <c r="D449">
        <v>6.1441425546930134E-2</v>
      </c>
      <c r="E449">
        <v>0.1618075158786168</v>
      </c>
      <c r="F449">
        <v>0.57535726887791105</v>
      </c>
      <c r="G449">
        <v>0.15717625264643612</v>
      </c>
      <c r="H449">
        <v>4.4217537050105858E-2</v>
      </c>
      <c r="I449">
        <v>27.86</v>
      </c>
      <c r="J449">
        <v>73.37</v>
      </c>
      <c r="K449">
        <v>260.89</v>
      </c>
      <c r="L449">
        <v>71.27</v>
      </c>
      <c r="M449">
        <v>20.05</v>
      </c>
      <c r="N449">
        <f t="shared" si="30"/>
        <v>26.921841919548342</v>
      </c>
    </row>
    <row r="450" spans="1:14" x14ac:dyDescent="0.3">
      <c r="A450" t="s">
        <v>98</v>
      </c>
      <c r="B450" t="s">
        <v>34</v>
      </c>
      <c r="C450">
        <v>0</v>
      </c>
      <c r="D450">
        <v>3.7112636852848393E-4</v>
      </c>
      <c r="E450">
        <v>2.5978845796993878E-3</v>
      </c>
      <c r="F450">
        <v>4.7318611987381701E-2</v>
      </c>
      <c r="G450">
        <v>0.30246799035071442</v>
      </c>
      <c r="H450">
        <v>0.64724438671367601</v>
      </c>
      <c r="I450">
        <v>2</v>
      </c>
      <c r="J450">
        <v>14</v>
      </c>
      <c r="K450">
        <v>255</v>
      </c>
      <c r="L450">
        <v>1630</v>
      </c>
      <c r="M450">
        <v>3488</v>
      </c>
      <c r="N450">
        <f t="shared" si="30"/>
        <v>30.187233252922617</v>
      </c>
    </row>
    <row r="451" spans="1:14" x14ac:dyDescent="0.3">
      <c r="A451" t="s">
        <v>137</v>
      </c>
      <c r="B451" t="s">
        <v>112</v>
      </c>
      <c r="C451">
        <v>0</v>
      </c>
      <c r="D451">
        <v>5.0879695672848321E-2</v>
      </c>
      <c r="E451">
        <v>0.11388492629576796</v>
      </c>
      <c r="F451">
        <v>0.17902995720399431</v>
      </c>
      <c r="G451">
        <v>0.42415596766524016</v>
      </c>
      <c r="H451">
        <v>0.23204945316214934</v>
      </c>
      <c r="I451">
        <v>2.14</v>
      </c>
      <c r="J451">
        <v>4.79</v>
      </c>
      <c r="K451">
        <v>7.53</v>
      </c>
      <c r="L451">
        <v>17.84</v>
      </c>
      <c r="M451">
        <v>9.76</v>
      </c>
      <c r="N451">
        <f t="shared" si="30"/>
        <v>28.345221112696152</v>
      </c>
    </row>
    <row r="452" spans="1:14" x14ac:dyDescent="0.3">
      <c r="A452" t="s">
        <v>147</v>
      </c>
      <c r="B452" t="s">
        <v>18</v>
      </c>
      <c r="C452" t="s">
        <v>149</v>
      </c>
      <c r="D452">
        <v>3.104755885605941E-2</v>
      </c>
      <c r="E452">
        <v>0.31921841259809347</v>
      </c>
      <c r="F452">
        <v>0.39703481329330603</v>
      </c>
      <c r="G452">
        <v>0.20392900405540634</v>
      </c>
      <c r="H452">
        <v>4.8770211197134886E-2</v>
      </c>
      <c r="I452">
        <v>11.79</v>
      </c>
      <c r="J452">
        <v>121.22</v>
      </c>
      <c r="K452">
        <v>150.77000000000001</v>
      </c>
      <c r="L452">
        <v>77.44</v>
      </c>
      <c r="M452">
        <v>18.52</v>
      </c>
      <c r="N452">
        <f t="shared" si="30"/>
        <v>26.840311792278921</v>
      </c>
    </row>
    <row r="453" spans="1:14" x14ac:dyDescent="0.3">
      <c r="A453" t="s">
        <v>147</v>
      </c>
      <c r="B453" t="s">
        <v>18</v>
      </c>
      <c r="C453" t="s">
        <v>149</v>
      </c>
      <c r="D453">
        <v>2.7790350321354212E-2</v>
      </c>
      <c r="E453">
        <v>0.23716846202588937</v>
      </c>
      <c r="F453">
        <v>0.40635466642527385</v>
      </c>
      <c r="G453">
        <v>0.22684891825835068</v>
      </c>
      <c r="H453">
        <v>0.10183760296913189</v>
      </c>
      <c r="I453">
        <v>3.07</v>
      </c>
      <c r="J453">
        <v>26.2</v>
      </c>
      <c r="K453">
        <v>44.89</v>
      </c>
      <c r="L453">
        <v>25.06</v>
      </c>
      <c r="M453">
        <v>11.25</v>
      </c>
      <c r="N453">
        <f t="shared" ref="N453:N516" si="31">(D453*23+E453*25+F453*27+G453*29+H453*31)/SUM(D453:H453)</f>
        <v>27.275549923056033</v>
      </c>
    </row>
    <row r="454" spans="1:14" x14ac:dyDescent="0.3">
      <c r="A454" t="s">
        <v>147</v>
      </c>
      <c r="B454" t="s">
        <v>18</v>
      </c>
      <c r="C454" t="s">
        <v>149</v>
      </c>
      <c r="D454">
        <v>5.1184350808881465E-2</v>
      </c>
      <c r="E454">
        <v>0.41837111203819588</v>
      </c>
      <c r="F454">
        <v>0.26904556621703052</v>
      </c>
      <c r="G454">
        <v>0.1211811060121448</v>
      </c>
      <c r="H454">
        <v>0.14021786492374727</v>
      </c>
      <c r="I454">
        <v>2.7605</v>
      </c>
      <c r="J454">
        <v>22.563800000000001</v>
      </c>
      <c r="K454">
        <v>14.510300000000001</v>
      </c>
      <c r="L454">
        <v>6.5355999999999996</v>
      </c>
      <c r="M454">
        <v>7.5622999999999996</v>
      </c>
      <c r="N454">
        <f t="shared" si="31"/>
        <v>26.761754044407361</v>
      </c>
    </row>
    <row r="455" spans="1:14" x14ac:dyDescent="0.3">
      <c r="A455" t="s">
        <v>147</v>
      </c>
      <c r="B455" t="s">
        <v>18</v>
      </c>
      <c r="C455" t="s">
        <v>149</v>
      </c>
      <c r="D455">
        <v>9.7634247089748404E-3</v>
      </c>
      <c r="E455">
        <v>0.52284391037676814</v>
      </c>
      <c r="F455">
        <v>0.3227562898986106</v>
      </c>
      <c r="G455">
        <v>0.10464388534234571</v>
      </c>
      <c r="H455">
        <v>3.9992489673300789E-2</v>
      </c>
      <c r="I455">
        <v>1.56</v>
      </c>
      <c r="J455">
        <v>83.54</v>
      </c>
      <c r="K455">
        <v>51.57</v>
      </c>
      <c r="L455">
        <v>16.72</v>
      </c>
      <c r="M455">
        <v>6.39</v>
      </c>
      <c r="N455">
        <f t="shared" si="31"/>
        <v>26.284516209788457</v>
      </c>
    </row>
    <row r="456" spans="1:14" x14ac:dyDescent="0.3">
      <c r="A456" t="s">
        <v>147</v>
      </c>
      <c r="B456" t="s">
        <v>18</v>
      </c>
      <c r="C456" t="s">
        <v>149</v>
      </c>
      <c r="D456">
        <v>3.197105996786543E-2</v>
      </c>
      <c r="E456">
        <v>0.59232743208565253</v>
      </c>
      <c r="F456">
        <v>0.25788195612779774</v>
      </c>
      <c r="G456">
        <v>6.9662289716532003E-2</v>
      </c>
      <c r="H456">
        <v>4.8157262102152258E-2</v>
      </c>
      <c r="I456">
        <v>2.3658999999999999</v>
      </c>
      <c r="J456">
        <v>43.832999999999998</v>
      </c>
      <c r="K456">
        <v>19.083600000000001</v>
      </c>
      <c r="L456">
        <v>5.1551</v>
      </c>
      <c r="M456">
        <v>3.5636999999999999</v>
      </c>
      <c r="N456">
        <f t="shared" si="31"/>
        <v>26.019414523798908</v>
      </c>
    </row>
    <row r="457" spans="1:14" x14ac:dyDescent="0.3">
      <c r="A457" t="s">
        <v>147</v>
      </c>
      <c r="B457" t="s">
        <v>149</v>
      </c>
      <c r="C457">
        <v>0</v>
      </c>
      <c r="D457">
        <f t="shared" ref="D457:H458" si="32">I457/SUM($I457:$M457)</f>
        <v>3.9144338326201726E-2</v>
      </c>
      <c r="E457">
        <f t="shared" si="32"/>
        <v>0.53930815379953378</v>
      </c>
      <c r="F457">
        <f t="shared" si="32"/>
        <v>0.18579887040518137</v>
      </c>
      <c r="G457">
        <f t="shared" si="32"/>
        <v>0.15577387330001258</v>
      </c>
      <c r="H457">
        <f t="shared" si="32"/>
        <v>7.9974764169070608E-2</v>
      </c>
      <c r="I457">
        <v>9.5480269361075951</v>
      </c>
      <c r="J457">
        <v>131.54721728668591</v>
      </c>
      <c r="K457">
        <v>45.319775354066451</v>
      </c>
      <c r="L457">
        <v>37.996124134630413</v>
      </c>
      <c r="M457">
        <v>19.507321751917651</v>
      </c>
      <c r="N457">
        <f t="shared" si="31"/>
        <v>26.396253142372437</v>
      </c>
    </row>
    <row r="458" spans="1:14" x14ac:dyDescent="0.3">
      <c r="A458" t="s">
        <v>147</v>
      </c>
      <c r="B458" t="s">
        <v>149</v>
      </c>
      <c r="C458">
        <v>0</v>
      </c>
      <c r="D458">
        <f t="shared" si="32"/>
        <v>0.13577202766840238</v>
      </c>
      <c r="E458">
        <f t="shared" si="32"/>
        <v>0.2230932384158345</v>
      </c>
      <c r="F458">
        <f t="shared" si="32"/>
        <v>0.27222292062981707</v>
      </c>
      <c r="G458">
        <f t="shared" si="32"/>
        <v>0.1921558271308863</v>
      </c>
      <c r="H458">
        <f t="shared" si="32"/>
        <v>0.17675598615505977</v>
      </c>
      <c r="I458">
        <v>6.3090916142318054</v>
      </c>
      <c r="J458">
        <v>10.366757452564165</v>
      </c>
      <c r="K458">
        <v>12.649728926063394</v>
      </c>
      <c r="L458">
        <v>8.929149386633128</v>
      </c>
      <c r="M458">
        <v>8.2135453757805905</v>
      </c>
      <c r="N458">
        <f t="shared" si="31"/>
        <v>27.102061011376733</v>
      </c>
    </row>
    <row r="459" spans="1:14" x14ac:dyDescent="0.3">
      <c r="A459" t="s">
        <v>129</v>
      </c>
      <c r="B459" t="s">
        <v>15</v>
      </c>
      <c r="C459">
        <v>0</v>
      </c>
      <c r="D459">
        <v>6.0214690696267538E-3</v>
      </c>
      <c r="E459">
        <v>8.5960691624811843E-3</v>
      </c>
      <c r="F459">
        <v>4.2389453987816371E-2</v>
      </c>
      <c r="G459">
        <v>0.6472938561319096</v>
      </c>
      <c r="H459">
        <v>0.29569915164816613</v>
      </c>
      <c r="I459">
        <v>4.28</v>
      </c>
      <c r="J459">
        <v>6.11</v>
      </c>
      <c r="K459">
        <v>30.13</v>
      </c>
      <c r="L459">
        <v>460.09</v>
      </c>
      <c r="M459">
        <v>210.18</v>
      </c>
      <c r="N459">
        <f t="shared" si="31"/>
        <v>29.436106304253013</v>
      </c>
    </row>
    <row r="460" spans="1:14" x14ac:dyDescent="0.3">
      <c r="A460" t="s">
        <v>155</v>
      </c>
      <c r="B460" t="s">
        <v>149</v>
      </c>
      <c r="C460">
        <v>0</v>
      </c>
      <c r="D460">
        <f t="shared" ref="D460:H462" si="33">I460/SUM($I460:$M460)</f>
        <v>0.15686274509803924</v>
      </c>
      <c r="E460">
        <f t="shared" si="33"/>
        <v>0.59359114015976766</v>
      </c>
      <c r="F460">
        <f t="shared" si="33"/>
        <v>0.24954611474219315</v>
      </c>
      <c r="G460">
        <f t="shared" si="33"/>
        <v>0</v>
      </c>
      <c r="H460">
        <f t="shared" si="33"/>
        <v>0</v>
      </c>
      <c r="I460">
        <v>17.28</v>
      </c>
      <c r="J460">
        <v>65.39</v>
      </c>
      <c r="K460">
        <v>27.49</v>
      </c>
      <c r="L460">
        <v>0</v>
      </c>
      <c r="M460">
        <v>0</v>
      </c>
      <c r="N460">
        <f t="shared" si="31"/>
        <v>25.185366739288309</v>
      </c>
    </row>
    <row r="461" spans="1:14" x14ac:dyDescent="0.3">
      <c r="A461" t="s">
        <v>159</v>
      </c>
      <c r="B461" t="s">
        <v>149</v>
      </c>
      <c r="C461">
        <v>0</v>
      </c>
      <c r="D461">
        <f t="shared" si="33"/>
        <v>7.4264150943396223E-2</v>
      </c>
      <c r="E461">
        <f t="shared" si="33"/>
        <v>0.77358490566037741</v>
      </c>
      <c r="F461">
        <f t="shared" si="33"/>
        <v>0.15215094339622642</v>
      </c>
      <c r="G461">
        <f t="shared" si="33"/>
        <v>0</v>
      </c>
      <c r="H461">
        <f t="shared" si="33"/>
        <v>0</v>
      </c>
      <c r="I461">
        <v>4.92</v>
      </c>
      <c r="J461">
        <v>51.25</v>
      </c>
      <c r="K461">
        <v>10.08</v>
      </c>
      <c r="L461">
        <v>0</v>
      </c>
      <c r="M461">
        <v>0</v>
      </c>
      <c r="N461">
        <f t="shared" si="31"/>
        <v>25.155773584905663</v>
      </c>
    </row>
    <row r="462" spans="1:14" x14ac:dyDescent="0.3">
      <c r="A462" t="s">
        <v>160</v>
      </c>
      <c r="B462" t="s">
        <v>149</v>
      </c>
      <c r="C462">
        <v>0</v>
      </c>
      <c r="D462">
        <f t="shared" si="33"/>
        <v>0.23159993354377803</v>
      </c>
      <c r="E462">
        <f t="shared" si="33"/>
        <v>0.55607243728194056</v>
      </c>
      <c r="F462">
        <f t="shared" si="33"/>
        <v>0.21232762917428144</v>
      </c>
      <c r="G462">
        <f t="shared" si="33"/>
        <v>0</v>
      </c>
      <c r="H462">
        <f t="shared" si="33"/>
        <v>0</v>
      </c>
      <c r="I462">
        <v>13.94</v>
      </c>
      <c r="J462">
        <v>33.47</v>
      </c>
      <c r="K462">
        <v>12.78</v>
      </c>
      <c r="L462">
        <v>0</v>
      </c>
      <c r="M462">
        <v>0</v>
      </c>
      <c r="N462">
        <f t="shared" si="31"/>
        <v>24.961455391261008</v>
      </c>
    </row>
    <row r="463" spans="1:14" x14ac:dyDescent="0.3">
      <c r="A463" t="s">
        <v>99</v>
      </c>
      <c r="B463" t="s">
        <v>18</v>
      </c>
      <c r="C463">
        <v>0</v>
      </c>
      <c r="D463">
        <v>5.31326101394731E-3</v>
      </c>
      <c r="E463">
        <v>1.4168696037192827E-2</v>
      </c>
      <c r="F463">
        <v>6.7854770865618766E-2</v>
      </c>
      <c r="G463">
        <v>0.3835510294443214</v>
      </c>
      <c r="H463">
        <v>0.52911224263891954</v>
      </c>
      <c r="I463">
        <v>0.48</v>
      </c>
      <c r="J463">
        <v>1.28</v>
      </c>
      <c r="K463">
        <v>6.13</v>
      </c>
      <c r="L463">
        <v>34.65</v>
      </c>
      <c r="M463">
        <v>47.8</v>
      </c>
      <c r="N463">
        <f t="shared" si="31"/>
        <v>29.833960593314149</v>
      </c>
    </row>
    <row r="464" spans="1:14" x14ac:dyDescent="0.3">
      <c r="A464" t="s">
        <v>99</v>
      </c>
      <c r="B464" t="s">
        <v>18</v>
      </c>
      <c r="C464">
        <v>0</v>
      </c>
      <c r="D464">
        <v>0.10919540229885058</v>
      </c>
      <c r="E464">
        <v>0.15517241379310345</v>
      </c>
      <c r="F464">
        <v>0.1206896551724138</v>
      </c>
      <c r="G464">
        <v>0.35057471264367818</v>
      </c>
      <c r="H464">
        <v>0.26436781609195403</v>
      </c>
      <c r="I464">
        <v>19</v>
      </c>
      <c r="J464">
        <v>27</v>
      </c>
      <c r="K464">
        <v>21</v>
      </c>
      <c r="L464">
        <v>61</v>
      </c>
      <c r="M464">
        <v>46</v>
      </c>
      <c r="N464">
        <f t="shared" si="31"/>
        <v>28.011494252873565</v>
      </c>
    </row>
    <row r="465" spans="1:14" x14ac:dyDescent="0.3">
      <c r="A465" t="s">
        <v>99</v>
      </c>
      <c r="B465" t="s">
        <v>18</v>
      </c>
      <c r="C465">
        <v>0</v>
      </c>
      <c r="D465">
        <v>2.2363491883301168E-2</v>
      </c>
      <c r="E465">
        <v>1.9525485299125893E-2</v>
      </c>
      <c r="F465">
        <v>0.10432512203428311</v>
      </c>
      <c r="G465">
        <v>0.35372914065160632</v>
      </c>
      <c r="H465">
        <v>0.50005676013168343</v>
      </c>
      <c r="I465">
        <v>1.97</v>
      </c>
      <c r="J465">
        <v>1.72</v>
      </c>
      <c r="K465">
        <v>9.19</v>
      </c>
      <c r="L465">
        <v>31.16</v>
      </c>
      <c r="M465">
        <v>44.05</v>
      </c>
      <c r="N465">
        <f t="shared" si="31"/>
        <v>29.579180383698489</v>
      </c>
    </row>
    <row r="466" spans="1:14" x14ac:dyDescent="0.3">
      <c r="A466" t="s">
        <v>99</v>
      </c>
      <c r="B466" t="s">
        <v>18</v>
      </c>
      <c r="C466">
        <v>0</v>
      </c>
      <c r="D466">
        <v>0.65201465201465203</v>
      </c>
      <c r="E466">
        <v>0.26495726495726496</v>
      </c>
      <c r="F466">
        <v>4.3956043956043959E-2</v>
      </c>
      <c r="G466">
        <v>2.564102564102564E-2</v>
      </c>
      <c r="H466">
        <v>1.3431013431013432E-2</v>
      </c>
      <c r="I466">
        <v>534</v>
      </c>
      <c r="J466">
        <v>217</v>
      </c>
      <c r="K466">
        <v>36</v>
      </c>
      <c r="L466">
        <v>21</v>
      </c>
      <c r="M466">
        <v>11</v>
      </c>
      <c r="N466">
        <f t="shared" si="31"/>
        <v>23.967032967032967</v>
      </c>
    </row>
    <row r="467" spans="1:14" x14ac:dyDescent="0.3">
      <c r="A467" t="s">
        <v>99</v>
      </c>
      <c r="B467" t="s">
        <v>18</v>
      </c>
      <c r="C467">
        <v>0</v>
      </c>
      <c r="D467">
        <v>1.3406156901688183E-2</v>
      </c>
      <c r="E467">
        <v>3.2522343594836148E-2</v>
      </c>
      <c r="F467">
        <v>0.33416087388282029</v>
      </c>
      <c r="G467">
        <v>0.38207547169811323</v>
      </c>
      <c r="H467">
        <v>0.2378351539225422</v>
      </c>
      <c r="I467">
        <v>0.54</v>
      </c>
      <c r="J467">
        <v>1.31</v>
      </c>
      <c r="K467">
        <v>13.46</v>
      </c>
      <c r="L467">
        <v>15.39</v>
      </c>
      <c r="M467">
        <v>9.58</v>
      </c>
      <c r="N467">
        <f t="shared" si="31"/>
        <v>28.596822244289967</v>
      </c>
    </row>
    <row r="468" spans="1:14" x14ac:dyDescent="0.3">
      <c r="A468" t="s">
        <v>99</v>
      </c>
      <c r="B468" t="s">
        <v>18</v>
      </c>
      <c r="C468">
        <v>0</v>
      </c>
      <c r="D468">
        <v>0.23189376185693564</v>
      </c>
      <c r="E468">
        <v>0.46010489900680723</v>
      </c>
      <c r="F468">
        <v>0.22821113714987165</v>
      </c>
      <c r="G468">
        <v>4.5977011494252873E-2</v>
      </c>
      <c r="H468">
        <v>3.3813190492132571E-2</v>
      </c>
      <c r="I468">
        <v>20.78</v>
      </c>
      <c r="J468">
        <v>41.23</v>
      </c>
      <c r="K468">
        <v>20.45</v>
      </c>
      <c r="L468">
        <v>4.12</v>
      </c>
      <c r="M468">
        <v>3.03</v>
      </c>
      <c r="N468">
        <f t="shared" si="31"/>
        <v>25.379421939515677</v>
      </c>
    </row>
    <row r="469" spans="1:14" x14ac:dyDescent="0.3">
      <c r="A469" t="s">
        <v>99</v>
      </c>
      <c r="B469" t="s">
        <v>18</v>
      </c>
      <c r="C469">
        <v>0</v>
      </c>
      <c r="D469">
        <v>0.20833333333333334</v>
      </c>
      <c r="E469">
        <v>0.20833333333333334</v>
      </c>
      <c r="F469">
        <v>0.25</v>
      </c>
      <c r="G469">
        <v>0.20833333333333334</v>
      </c>
      <c r="H469">
        <v>0.125</v>
      </c>
      <c r="I469">
        <v>5</v>
      </c>
      <c r="J469">
        <v>5</v>
      </c>
      <c r="K469">
        <v>6</v>
      </c>
      <c r="L469">
        <v>5</v>
      </c>
      <c r="M469">
        <v>3</v>
      </c>
      <c r="N469">
        <f t="shared" si="31"/>
        <v>26.666666666666668</v>
      </c>
    </row>
    <row r="470" spans="1:14" x14ac:dyDescent="0.3">
      <c r="A470" t="s">
        <v>99</v>
      </c>
      <c r="B470" t="s">
        <v>18</v>
      </c>
      <c r="C470">
        <v>0</v>
      </c>
      <c r="D470">
        <f>I470/SUM($I470:$M470)</f>
        <v>0.15928035464876744</v>
      </c>
      <c r="E470">
        <f>J470/SUM($I470:$M470)</f>
        <v>0.2580791887091578</v>
      </c>
      <c r="F470">
        <f>K470/SUM($I470:$M470)</f>
        <v>0.36682349409276255</v>
      </c>
      <c r="G470">
        <f>L470/SUM($I470:$M470)</f>
        <v>0.16228063396645839</v>
      </c>
      <c r="H470">
        <f>M470/SUM($I470:$M470)</f>
        <v>5.3536328582853676E-2</v>
      </c>
      <c r="I470">
        <v>7.7055700800195055</v>
      </c>
      <c r="J470">
        <v>12.485201198717842</v>
      </c>
      <c r="K470">
        <v>17.745968402458452</v>
      </c>
      <c r="L470">
        <v>7.8507158049463541</v>
      </c>
      <c r="M470">
        <v>2.5899486012057458</v>
      </c>
      <c r="N470">
        <f t="shared" si="31"/>
        <v>26.385426786250953</v>
      </c>
    </row>
    <row r="471" spans="1:14" x14ac:dyDescent="0.3">
      <c r="A471" t="s">
        <v>99</v>
      </c>
      <c r="B471" t="s">
        <v>18</v>
      </c>
      <c r="C471">
        <v>0</v>
      </c>
      <c r="D471">
        <v>9.0590590590590589E-2</v>
      </c>
      <c r="E471">
        <v>0.27627627627627627</v>
      </c>
      <c r="F471">
        <v>0.35485485485485485</v>
      </c>
      <c r="G471">
        <v>0.16266266266266266</v>
      </c>
      <c r="H471">
        <v>0.11561561561561562</v>
      </c>
      <c r="I471">
        <v>1.81</v>
      </c>
      <c r="J471">
        <v>5.52</v>
      </c>
      <c r="K471">
        <v>7.09</v>
      </c>
      <c r="L471">
        <v>3.25</v>
      </c>
      <c r="M471">
        <v>2.31</v>
      </c>
      <c r="N471">
        <f t="shared" si="31"/>
        <v>26.872872872872875</v>
      </c>
    </row>
    <row r="472" spans="1:14" x14ac:dyDescent="0.3">
      <c r="A472" t="s">
        <v>99</v>
      </c>
      <c r="B472" t="s">
        <v>18</v>
      </c>
      <c r="C472">
        <v>0</v>
      </c>
      <c r="D472">
        <v>0.10330948121645797</v>
      </c>
      <c r="E472">
        <v>0.20304114490161002</v>
      </c>
      <c r="F472">
        <v>0.38103756708407871</v>
      </c>
      <c r="G472">
        <v>0.2227191413237925</v>
      </c>
      <c r="H472">
        <v>8.9892665474060815E-2</v>
      </c>
      <c r="I472">
        <v>2.31</v>
      </c>
      <c r="J472">
        <v>4.54</v>
      </c>
      <c r="K472">
        <v>8.52</v>
      </c>
      <c r="L472">
        <v>4.9800000000000004</v>
      </c>
      <c r="M472">
        <v>2.0099999999999998</v>
      </c>
      <c r="N472">
        <f t="shared" si="31"/>
        <v>26.985688729874777</v>
      </c>
    </row>
    <row r="473" spans="1:14" x14ac:dyDescent="0.3">
      <c r="A473" t="s">
        <v>99</v>
      </c>
      <c r="B473" t="s">
        <v>18</v>
      </c>
      <c r="C473">
        <v>0</v>
      </c>
      <c r="D473">
        <f>I473/SUM($I473:$M473)</f>
        <v>0.30013301826775773</v>
      </c>
      <c r="E473">
        <f>J473/SUM($I473:$M473)</f>
        <v>0.26483545977353418</v>
      </c>
      <c r="F473">
        <f>K473/SUM($I473:$M473)</f>
        <v>0.24744151506247475</v>
      </c>
      <c r="G473">
        <f>L473/SUM($I473:$M473)</f>
        <v>0.12568390208505889</v>
      </c>
      <c r="H473">
        <f>M473/SUM($I473:$M473)</f>
        <v>6.1906104811174381E-2</v>
      </c>
      <c r="I473">
        <v>8.5480491439539463</v>
      </c>
      <c r="J473">
        <v>7.5427440082123205</v>
      </c>
      <c r="K473">
        <v>7.0473493493524018</v>
      </c>
      <c r="L473">
        <v>3.5795867373329688</v>
      </c>
      <c r="M473">
        <v>1.7631396548465994</v>
      </c>
      <c r="N473">
        <f t="shared" si="31"/>
        <v>25.768789230796713</v>
      </c>
    </row>
    <row r="474" spans="1:14" x14ac:dyDescent="0.3">
      <c r="A474" t="s">
        <v>99</v>
      </c>
      <c r="B474" t="s">
        <v>18</v>
      </c>
      <c r="C474">
        <v>0</v>
      </c>
      <c r="D474">
        <v>0.23968042609853527</v>
      </c>
      <c r="E474">
        <v>0.38415446071904119</v>
      </c>
      <c r="F474">
        <v>0.17976031957390146</v>
      </c>
      <c r="G474">
        <v>0.10319573901464713</v>
      </c>
      <c r="H474">
        <v>9.3209054593874824E-2</v>
      </c>
      <c r="I474">
        <v>3.6</v>
      </c>
      <c r="J474">
        <v>5.77</v>
      </c>
      <c r="K474">
        <v>2.7</v>
      </c>
      <c r="L474">
        <v>1.55</v>
      </c>
      <c r="M474">
        <v>1.4</v>
      </c>
      <c r="N474">
        <f t="shared" si="31"/>
        <v>25.852197070572569</v>
      </c>
    </row>
    <row r="475" spans="1:14" x14ac:dyDescent="0.3">
      <c r="A475" t="s">
        <v>99</v>
      </c>
      <c r="B475" t="s">
        <v>18</v>
      </c>
      <c r="C475">
        <v>0</v>
      </c>
      <c r="D475">
        <v>0.2076502732240437</v>
      </c>
      <c r="E475">
        <v>0.24043715846994532</v>
      </c>
      <c r="F475">
        <v>0.24180327868852455</v>
      </c>
      <c r="G475">
        <v>0.14071038251366119</v>
      </c>
      <c r="H475">
        <v>0.1693989071038251</v>
      </c>
      <c r="I475">
        <v>1.52</v>
      </c>
      <c r="J475">
        <v>1.76</v>
      </c>
      <c r="K475">
        <v>1.77</v>
      </c>
      <c r="L475">
        <v>1.03</v>
      </c>
      <c r="M475">
        <v>1.24</v>
      </c>
      <c r="N475">
        <f t="shared" si="31"/>
        <v>26.647540983606554</v>
      </c>
    </row>
    <row r="476" spans="1:14" x14ac:dyDescent="0.3">
      <c r="A476" t="s">
        <v>99</v>
      </c>
      <c r="B476" t="s">
        <v>18</v>
      </c>
      <c r="C476">
        <v>0</v>
      </c>
      <c r="D476">
        <v>0.1172332942555686</v>
      </c>
      <c r="E476">
        <v>0.27960140679953105</v>
      </c>
      <c r="F476">
        <v>0.3804220398593201</v>
      </c>
      <c r="G476">
        <v>0.17643610785463071</v>
      </c>
      <c r="H476">
        <v>4.6307151230949598E-2</v>
      </c>
      <c r="I476">
        <v>2</v>
      </c>
      <c r="J476">
        <v>4.7699999999999996</v>
      </c>
      <c r="K476">
        <v>6.49</v>
      </c>
      <c r="L476">
        <v>3.01</v>
      </c>
      <c r="M476">
        <v>0.79</v>
      </c>
      <c r="N476">
        <f t="shared" si="31"/>
        <v>26.509964830011722</v>
      </c>
    </row>
    <row r="477" spans="1:14" x14ac:dyDescent="0.3">
      <c r="A477" t="s">
        <v>99</v>
      </c>
      <c r="B477" t="s">
        <v>18</v>
      </c>
      <c r="C477">
        <v>0</v>
      </c>
      <c r="D477">
        <v>0.11050920910075841</v>
      </c>
      <c r="E477">
        <v>0.26652221018418204</v>
      </c>
      <c r="F477">
        <v>0.36619718309859162</v>
      </c>
      <c r="G477">
        <v>0.18093174431202602</v>
      </c>
      <c r="H477">
        <v>7.5839653304442048E-2</v>
      </c>
      <c r="I477">
        <v>1.02</v>
      </c>
      <c r="J477">
        <v>2.46</v>
      </c>
      <c r="K477">
        <v>3.38</v>
      </c>
      <c r="L477">
        <v>1.67</v>
      </c>
      <c r="M477">
        <v>0.7</v>
      </c>
      <c r="N477">
        <f t="shared" si="31"/>
        <v>26.69014084507042</v>
      </c>
    </row>
    <row r="478" spans="1:14" x14ac:dyDescent="0.3">
      <c r="A478" t="s">
        <v>99</v>
      </c>
      <c r="B478" t="s">
        <v>18</v>
      </c>
      <c r="C478">
        <v>0</v>
      </c>
      <c r="D478">
        <v>0.17716535433070868</v>
      </c>
      <c r="E478">
        <v>0.3923884514435696</v>
      </c>
      <c r="F478">
        <v>0.21522309711286089</v>
      </c>
      <c r="G478">
        <v>0.12335958005249342</v>
      </c>
      <c r="H478">
        <v>9.1863517060367453E-2</v>
      </c>
      <c r="I478">
        <v>1.35</v>
      </c>
      <c r="J478">
        <v>2.99</v>
      </c>
      <c r="K478">
        <v>1.64</v>
      </c>
      <c r="L478">
        <v>0.94</v>
      </c>
      <c r="M478">
        <v>0.7</v>
      </c>
      <c r="N478">
        <f t="shared" si="31"/>
        <v>26.120734908136484</v>
      </c>
    </row>
    <row r="479" spans="1:14" x14ac:dyDescent="0.3">
      <c r="A479" t="s">
        <v>99</v>
      </c>
      <c r="B479" t="s">
        <v>18</v>
      </c>
      <c r="C479">
        <v>0</v>
      </c>
      <c r="D479">
        <v>0.12988384371700104</v>
      </c>
      <c r="E479">
        <v>0.37909186906019005</v>
      </c>
      <c r="F479">
        <v>0.29144667370644134</v>
      </c>
      <c r="G479">
        <v>0.12988384371700104</v>
      </c>
      <c r="H479">
        <v>6.9693769799366423E-2</v>
      </c>
      <c r="I479">
        <v>1.23</v>
      </c>
      <c r="J479">
        <v>3.59</v>
      </c>
      <c r="K479">
        <v>2.76</v>
      </c>
      <c r="L479">
        <v>1.23</v>
      </c>
      <c r="M479">
        <v>0.66</v>
      </c>
      <c r="N479">
        <f t="shared" si="31"/>
        <v>26.260823653643087</v>
      </c>
    </row>
    <row r="480" spans="1:14" x14ac:dyDescent="0.3">
      <c r="A480" t="s">
        <v>99</v>
      </c>
      <c r="B480" t="s">
        <v>18</v>
      </c>
      <c r="C480">
        <v>0</v>
      </c>
      <c r="D480">
        <f>I480/SUM($I480:$M480)</f>
        <v>0.46680599189358796</v>
      </c>
      <c r="E480">
        <f>J480/SUM($I480:$M480)</f>
        <v>0.35693996807906464</v>
      </c>
      <c r="F480">
        <f>K480/SUM($I480:$M480)</f>
        <v>0.1121292729098748</v>
      </c>
      <c r="G480">
        <f>L480/SUM($I480:$M480)</f>
        <v>2.7126451003661935E-2</v>
      </c>
      <c r="H480">
        <f>M480/SUM($I480:$M480)</f>
        <v>3.6998316113810756E-2</v>
      </c>
      <c r="I480">
        <v>5.9405977791139675</v>
      </c>
      <c r="J480">
        <v>4.5424369405499663</v>
      </c>
      <c r="K480">
        <v>1.4269630664336295</v>
      </c>
      <c r="L480">
        <v>0.34521265233530407</v>
      </c>
      <c r="M480">
        <v>0.47084253063050663</v>
      </c>
      <c r="N480">
        <f t="shared" si="31"/>
        <v>24.621142262730082</v>
      </c>
    </row>
    <row r="481" spans="1:14" x14ac:dyDescent="0.3">
      <c r="A481" t="s">
        <v>99</v>
      </c>
      <c r="B481" t="s">
        <v>18</v>
      </c>
      <c r="C481">
        <v>0</v>
      </c>
      <c r="D481">
        <v>0.1254071661237785</v>
      </c>
      <c r="E481">
        <v>0.42671009771986973</v>
      </c>
      <c r="F481">
        <v>0.29153094462540718</v>
      </c>
      <c r="G481">
        <v>0.1221498371335505</v>
      </c>
      <c r="H481">
        <v>3.4201954397394138E-2</v>
      </c>
      <c r="I481">
        <v>0.77</v>
      </c>
      <c r="J481">
        <v>2.62</v>
      </c>
      <c r="K481">
        <v>1.79</v>
      </c>
      <c r="L481">
        <v>0.75</v>
      </c>
      <c r="M481">
        <v>0.21</v>
      </c>
      <c r="N481">
        <f t="shared" si="31"/>
        <v>26.026058631921824</v>
      </c>
    </row>
    <row r="482" spans="1:14" x14ac:dyDescent="0.3">
      <c r="A482" t="s">
        <v>99</v>
      </c>
      <c r="B482" t="s">
        <v>18</v>
      </c>
      <c r="C482">
        <v>0</v>
      </c>
      <c r="D482">
        <v>0.35619015047879615</v>
      </c>
      <c r="E482">
        <v>0.34062927496580031</v>
      </c>
      <c r="F482">
        <v>0.23649110807113544</v>
      </c>
      <c r="G482">
        <v>6.6689466484268128E-2</v>
      </c>
      <c r="H482">
        <v>0</v>
      </c>
      <c r="I482">
        <v>20.83</v>
      </c>
      <c r="J482">
        <v>19.920000000000002</v>
      </c>
      <c r="K482">
        <v>13.83</v>
      </c>
      <c r="L482">
        <v>3.9</v>
      </c>
      <c r="M482">
        <v>0</v>
      </c>
      <c r="N482">
        <f t="shared" si="31"/>
        <v>25.027359781121753</v>
      </c>
    </row>
    <row r="483" spans="1:14" x14ac:dyDescent="0.3">
      <c r="A483" t="s">
        <v>100</v>
      </c>
      <c r="B483" t="s">
        <v>18</v>
      </c>
      <c r="C483">
        <v>0</v>
      </c>
      <c r="D483">
        <v>0.54408527765549353</v>
      </c>
      <c r="E483">
        <v>0.26768756681969691</v>
      </c>
      <c r="F483">
        <v>0.16373184076473182</v>
      </c>
      <c r="G483">
        <v>2.185397144833659E-2</v>
      </c>
      <c r="H483">
        <v>2.6413433117414005E-3</v>
      </c>
      <c r="I483">
        <v>173.03</v>
      </c>
      <c r="J483">
        <v>85.13</v>
      </c>
      <c r="K483">
        <v>52.07</v>
      </c>
      <c r="L483">
        <v>6.95</v>
      </c>
      <c r="M483">
        <v>0.84</v>
      </c>
      <c r="N483">
        <f t="shared" si="31"/>
        <v>24.342557071882268</v>
      </c>
    </row>
    <row r="484" spans="1:14" x14ac:dyDescent="0.3">
      <c r="A484" t="s">
        <v>189</v>
      </c>
      <c r="B484" t="s">
        <v>15</v>
      </c>
      <c r="C484">
        <v>0</v>
      </c>
      <c r="D484">
        <v>0</v>
      </c>
      <c r="E484">
        <v>1.249479383590171E-2</v>
      </c>
      <c r="F484">
        <v>5.9175793869671429E-2</v>
      </c>
      <c r="G484">
        <v>0.76634735526863806</v>
      </c>
      <c r="H484">
        <v>0.16198205702578883</v>
      </c>
      <c r="I484">
        <v>0</v>
      </c>
      <c r="J484">
        <v>11.1</v>
      </c>
      <c r="K484">
        <v>52.57</v>
      </c>
      <c r="L484">
        <v>680.8</v>
      </c>
      <c r="M484">
        <v>143.9</v>
      </c>
      <c r="N484">
        <f t="shared" si="31"/>
        <v>29.155633350968628</v>
      </c>
    </row>
    <row r="485" spans="1:14" x14ac:dyDescent="0.3">
      <c r="A485" t="s">
        <v>167</v>
      </c>
      <c r="B485" t="s">
        <v>13</v>
      </c>
      <c r="C485">
        <v>0</v>
      </c>
      <c r="D485">
        <v>0.27524847707598588</v>
      </c>
      <c r="E485">
        <v>0.28350432831035582</v>
      </c>
      <c r="F485">
        <v>0.18218980442449501</v>
      </c>
      <c r="G485">
        <v>0.14684193651811475</v>
      </c>
      <c r="H485">
        <v>0.11221545367104839</v>
      </c>
      <c r="I485">
        <v>34.340000000000003</v>
      </c>
      <c r="J485">
        <v>35.369999999999997</v>
      </c>
      <c r="K485">
        <v>22.73</v>
      </c>
      <c r="L485">
        <v>18.32</v>
      </c>
      <c r="M485">
        <v>14</v>
      </c>
      <c r="N485">
        <f t="shared" si="31"/>
        <v>26.074543122795767</v>
      </c>
    </row>
    <row r="486" spans="1:14" x14ac:dyDescent="0.3">
      <c r="A486" t="s">
        <v>101</v>
      </c>
      <c r="B486" t="s">
        <v>13</v>
      </c>
      <c r="C486">
        <v>0</v>
      </c>
      <c r="D486">
        <v>0.2</v>
      </c>
      <c r="E486">
        <v>0.2</v>
      </c>
      <c r="F486">
        <v>0.2</v>
      </c>
      <c r="G486">
        <v>0.2</v>
      </c>
      <c r="H486">
        <v>0.2</v>
      </c>
      <c r="I486">
        <v>1</v>
      </c>
      <c r="J486">
        <v>1</v>
      </c>
      <c r="K486">
        <v>1</v>
      </c>
      <c r="L486">
        <v>1</v>
      </c>
      <c r="M486">
        <v>1</v>
      </c>
      <c r="N486">
        <f t="shared" si="31"/>
        <v>27.000000000000004</v>
      </c>
    </row>
    <row r="487" spans="1:14" x14ac:dyDescent="0.3">
      <c r="A487" t="s">
        <v>101</v>
      </c>
      <c r="B487" t="s">
        <v>13</v>
      </c>
      <c r="C487">
        <v>0</v>
      </c>
      <c r="D487">
        <v>0.22222222222222221</v>
      </c>
      <c r="E487">
        <v>0.33333333333333331</v>
      </c>
      <c r="F487">
        <v>0.22222222222222221</v>
      </c>
      <c r="G487">
        <v>0.1111111111111111</v>
      </c>
      <c r="H487">
        <v>0.1111111111111111</v>
      </c>
      <c r="I487">
        <v>2</v>
      </c>
      <c r="J487">
        <v>3</v>
      </c>
      <c r="K487">
        <v>2</v>
      </c>
      <c r="L487">
        <v>1</v>
      </c>
      <c r="M487">
        <v>1</v>
      </c>
      <c r="N487">
        <f t="shared" si="31"/>
        <v>26.111111111111107</v>
      </c>
    </row>
    <row r="488" spans="1:14" x14ac:dyDescent="0.3">
      <c r="A488" t="s">
        <v>101</v>
      </c>
      <c r="B488" t="s">
        <v>13</v>
      </c>
      <c r="C488">
        <v>0</v>
      </c>
      <c r="D488">
        <v>0.35555555555555557</v>
      </c>
      <c r="E488">
        <v>0.23650793650793647</v>
      </c>
      <c r="F488">
        <v>0.19999999999999998</v>
      </c>
      <c r="G488">
        <v>0.16349206349206347</v>
      </c>
      <c r="H488">
        <v>4.4444444444444446E-2</v>
      </c>
      <c r="I488">
        <v>2.2400000000000002</v>
      </c>
      <c r="J488">
        <v>1.49</v>
      </c>
      <c r="K488">
        <v>1.26</v>
      </c>
      <c r="L488">
        <v>1.03</v>
      </c>
      <c r="M488">
        <v>0.28000000000000003</v>
      </c>
      <c r="N488">
        <f t="shared" si="31"/>
        <v>25.609523809523811</v>
      </c>
    </row>
    <row r="489" spans="1:14" x14ac:dyDescent="0.3">
      <c r="A489" t="s">
        <v>172</v>
      </c>
      <c r="B489" t="s">
        <v>31</v>
      </c>
      <c r="C489">
        <v>0</v>
      </c>
      <c r="D489">
        <f t="shared" ref="D489:D507" si="34">I489/SUM($I489:$M489)</f>
        <v>2.3094688221709007E-3</v>
      </c>
      <c r="E489">
        <f t="shared" ref="E489:E507" si="35">J489/SUM($I489:$M489)</f>
        <v>9.2378752886836026E-3</v>
      </c>
      <c r="F489">
        <f t="shared" ref="F489:F507" si="36">K489/SUM($I489:$M489)</f>
        <v>6.4203233256351036E-2</v>
      </c>
      <c r="G489">
        <f t="shared" ref="G489:G507" si="37">L489/SUM($I489:$M489)</f>
        <v>0.29884526558891455</v>
      </c>
      <c r="H489">
        <f t="shared" ref="H489:H507" si="38">M489/SUM($I489:$M489)</f>
        <v>0.62540415704387986</v>
      </c>
      <c r="I489">
        <v>5</v>
      </c>
      <c r="J489">
        <v>20</v>
      </c>
      <c r="K489">
        <v>139</v>
      </c>
      <c r="L489">
        <v>647</v>
      </c>
      <c r="M489">
        <v>1354</v>
      </c>
      <c r="N489">
        <f t="shared" si="31"/>
        <v>30.071593533487295</v>
      </c>
    </row>
    <row r="490" spans="1:14" x14ac:dyDescent="0.3">
      <c r="A490" t="s">
        <v>172</v>
      </c>
      <c r="B490" t="s">
        <v>31</v>
      </c>
      <c r="C490">
        <v>0</v>
      </c>
      <c r="D490">
        <f t="shared" si="34"/>
        <v>0</v>
      </c>
      <c r="E490">
        <f t="shared" si="35"/>
        <v>5.7537399309551211E-3</v>
      </c>
      <c r="F490">
        <f t="shared" si="36"/>
        <v>3.0494821634062141E-2</v>
      </c>
      <c r="G490">
        <f t="shared" si="37"/>
        <v>0.16973532796317606</v>
      </c>
      <c r="H490">
        <f t="shared" si="38"/>
        <v>0.79401611047180665</v>
      </c>
      <c r="I490">
        <v>0</v>
      </c>
      <c r="J490">
        <v>10</v>
      </c>
      <c r="K490">
        <v>53</v>
      </c>
      <c r="L490">
        <v>295</v>
      </c>
      <c r="M490">
        <v>1380</v>
      </c>
      <c r="N490">
        <f t="shared" si="31"/>
        <v>30.504027617951671</v>
      </c>
    </row>
    <row r="491" spans="1:14" x14ac:dyDescent="0.3">
      <c r="A491" t="s">
        <v>172</v>
      </c>
      <c r="B491" t="s">
        <v>31</v>
      </c>
      <c r="C491">
        <v>0</v>
      </c>
      <c r="D491">
        <f t="shared" si="34"/>
        <v>1.7972681524083393E-3</v>
      </c>
      <c r="E491">
        <f t="shared" si="35"/>
        <v>1.0064701653486701E-2</v>
      </c>
      <c r="F491">
        <f t="shared" si="36"/>
        <v>5.6793673616103525E-2</v>
      </c>
      <c r="G491">
        <f t="shared" si="37"/>
        <v>0.27893601725377426</v>
      </c>
      <c r="H491">
        <f t="shared" si="38"/>
        <v>0.65240833932422715</v>
      </c>
      <c r="I491">
        <v>5</v>
      </c>
      <c r="J491">
        <v>28</v>
      </c>
      <c r="K491">
        <v>158</v>
      </c>
      <c r="L491">
        <v>776</v>
      </c>
      <c r="M491">
        <v>1815</v>
      </c>
      <c r="N491">
        <f t="shared" si="31"/>
        <v>30.140186915887845</v>
      </c>
    </row>
    <row r="492" spans="1:14" x14ac:dyDescent="0.3">
      <c r="A492" t="s">
        <v>172</v>
      </c>
      <c r="B492" t="s">
        <v>31</v>
      </c>
      <c r="C492">
        <v>0</v>
      </c>
      <c r="D492">
        <f t="shared" si="34"/>
        <v>2.1008403361344537E-3</v>
      </c>
      <c r="E492">
        <f t="shared" si="35"/>
        <v>8.9285714285714281E-3</v>
      </c>
      <c r="F492">
        <f t="shared" si="36"/>
        <v>5.2521008403361345E-2</v>
      </c>
      <c r="G492">
        <f t="shared" si="37"/>
        <v>0.27310924369747897</v>
      </c>
      <c r="H492">
        <f t="shared" si="38"/>
        <v>0.66334033613445376</v>
      </c>
      <c r="I492">
        <v>4</v>
      </c>
      <c r="J492">
        <v>17</v>
      </c>
      <c r="K492">
        <v>100</v>
      </c>
      <c r="L492">
        <v>520</v>
      </c>
      <c r="M492">
        <v>1263</v>
      </c>
      <c r="N492">
        <f t="shared" si="31"/>
        <v>30.173319327731093</v>
      </c>
    </row>
    <row r="493" spans="1:14" x14ac:dyDescent="0.3">
      <c r="A493" t="s">
        <v>172</v>
      </c>
      <c r="B493" t="s">
        <v>31</v>
      </c>
      <c r="C493">
        <v>0</v>
      </c>
      <c r="D493">
        <f t="shared" si="34"/>
        <v>2.008032128514056E-3</v>
      </c>
      <c r="E493">
        <f t="shared" si="35"/>
        <v>1.0542168674698794E-2</v>
      </c>
      <c r="F493">
        <f t="shared" si="36"/>
        <v>6.07429718875502E-2</v>
      </c>
      <c r="G493">
        <f t="shared" si="37"/>
        <v>0.30170682730923692</v>
      </c>
      <c r="H493">
        <f t="shared" si="38"/>
        <v>0.625</v>
      </c>
      <c r="I493">
        <v>4</v>
      </c>
      <c r="J493">
        <v>21</v>
      </c>
      <c r="K493">
        <v>121</v>
      </c>
      <c r="L493">
        <v>601</v>
      </c>
      <c r="M493">
        <v>1245</v>
      </c>
      <c r="N493">
        <f t="shared" si="31"/>
        <v>30.074297188755018</v>
      </c>
    </row>
    <row r="494" spans="1:14" x14ac:dyDescent="0.3">
      <c r="A494" t="s">
        <v>172</v>
      </c>
      <c r="B494" t="s">
        <v>31</v>
      </c>
      <c r="C494">
        <v>0</v>
      </c>
      <c r="D494">
        <f t="shared" si="34"/>
        <v>2.9498525073746312E-3</v>
      </c>
      <c r="E494">
        <f t="shared" si="35"/>
        <v>1.1307767944936086E-2</v>
      </c>
      <c r="F494">
        <f t="shared" si="36"/>
        <v>5.6538839724680434E-2</v>
      </c>
      <c r="G494">
        <f t="shared" si="37"/>
        <v>0.27974434611602755</v>
      </c>
      <c r="H494">
        <f t="shared" si="38"/>
        <v>0.64945919370698135</v>
      </c>
      <c r="I494">
        <v>6</v>
      </c>
      <c r="J494">
        <v>23</v>
      </c>
      <c r="K494">
        <v>115</v>
      </c>
      <c r="L494">
        <v>569</v>
      </c>
      <c r="M494">
        <v>1321</v>
      </c>
      <c r="N494">
        <f t="shared" si="31"/>
        <v>30.122910521140611</v>
      </c>
    </row>
    <row r="495" spans="1:14" x14ac:dyDescent="0.3">
      <c r="A495" t="s">
        <v>172</v>
      </c>
      <c r="B495" t="s">
        <v>31</v>
      </c>
      <c r="C495">
        <v>0</v>
      </c>
      <c r="D495">
        <f t="shared" si="34"/>
        <v>0</v>
      </c>
      <c r="E495">
        <f t="shared" si="35"/>
        <v>5.7471264367816091E-3</v>
      </c>
      <c r="F495">
        <f t="shared" si="36"/>
        <v>3.1034482758620689E-2</v>
      </c>
      <c r="G495">
        <f t="shared" si="37"/>
        <v>0.16954022988505746</v>
      </c>
      <c r="H495">
        <f t="shared" si="38"/>
        <v>0.79367816091954024</v>
      </c>
      <c r="I495">
        <v>0</v>
      </c>
      <c r="J495">
        <v>10</v>
      </c>
      <c r="K495">
        <v>54</v>
      </c>
      <c r="L495">
        <v>295</v>
      </c>
      <c r="M495">
        <v>1381</v>
      </c>
      <c r="N495">
        <f t="shared" si="31"/>
        <v>30.502298850574711</v>
      </c>
    </row>
    <row r="496" spans="1:14" x14ac:dyDescent="0.3">
      <c r="A496" t="s">
        <v>172</v>
      </c>
      <c r="B496" t="s">
        <v>31</v>
      </c>
      <c r="C496">
        <v>0</v>
      </c>
      <c r="D496">
        <f t="shared" si="34"/>
        <v>5.9322033898305086E-3</v>
      </c>
      <c r="E496">
        <f t="shared" si="35"/>
        <v>9.3220338983050852E-3</v>
      </c>
      <c r="F496">
        <f t="shared" si="36"/>
        <v>3.3898305084745763E-2</v>
      </c>
      <c r="G496">
        <f t="shared" si="37"/>
        <v>0.13474576271186442</v>
      </c>
      <c r="H496">
        <f t="shared" si="38"/>
        <v>0.81610169491525419</v>
      </c>
      <c r="I496">
        <v>7</v>
      </c>
      <c r="J496">
        <v>11</v>
      </c>
      <c r="K496">
        <v>40</v>
      </c>
      <c r="L496">
        <v>159</v>
      </c>
      <c r="M496">
        <v>963</v>
      </c>
      <c r="N496">
        <f t="shared" si="31"/>
        <v>30.491525423728813</v>
      </c>
    </row>
    <row r="497" spans="1:14" x14ac:dyDescent="0.3">
      <c r="A497" t="s">
        <v>173</v>
      </c>
      <c r="B497" t="s">
        <v>31</v>
      </c>
      <c r="C497">
        <v>0</v>
      </c>
      <c r="D497">
        <f t="shared" si="34"/>
        <v>0</v>
      </c>
      <c r="E497">
        <f t="shared" si="35"/>
        <v>2.2396416573348264E-3</v>
      </c>
      <c r="F497">
        <f t="shared" si="36"/>
        <v>1.9596864501679731E-2</v>
      </c>
      <c r="G497">
        <f t="shared" si="37"/>
        <v>0.11926091825307951</v>
      </c>
      <c r="H497">
        <f t="shared" si="38"/>
        <v>0.85890257558790595</v>
      </c>
      <c r="I497">
        <v>0</v>
      </c>
      <c r="J497">
        <v>4</v>
      </c>
      <c r="K497">
        <v>35</v>
      </c>
      <c r="L497">
        <v>213</v>
      </c>
      <c r="M497">
        <v>1534</v>
      </c>
      <c r="N497">
        <f t="shared" si="31"/>
        <v>30.669652855543113</v>
      </c>
    </row>
    <row r="498" spans="1:14" x14ac:dyDescent="0.3">
      <c r="A498" t="s">
        <v>173</v>
      </c>
      <c r="B498" t="s">
        <v>31</v>
      </c>
      <c r="C498">
        <v>0</v>
      </c>
      <c r="D498">
        <f t="shared" si="34"/>
        <v>0</v>
      </c>
      <c r="E498">
        <f t="shared" si="35"/>
        <v>2.3990403838464614E-3</v>
      </c>
      <c r="F498">
        <f t="shared" si="36"/>
        <v>1.3194722111155539E-2</v>
      </c>
      <c r="G498">
        <f t="shared" si="37"/>
        <v>8.3566573370651737E-2</v>
      </c>
      <c r="H498">
        <f t="shared" si="38"/>
        <v>0.90083966413434624</v>
      </c>
      <c r="I498">
        <v>0</v>
      </c>
      <c r="J498">
        <v>6</v>
      </c>
      <c r="K498">
        <v>33</v>
      </c>
      <c r="L498">
        <v>209</v>
      </c>
      <c r="M498">
        <v>2253</v>
      </c>
      <c r="N498">
        <f t="shared" si="31"/>
        <v>30.765693722510996</v>
      </c>
    </row>
    <row r="499" spans="1:14" x14ac:dyDescent="0.3">
      <c r="A499" t="s">
        <v>173</v>
      </c>
      <c r="B499" t="s">
        <v>31</v>
      </c>
      <c r="C499">
        <v>0</v>
      </c>
      <c r="D499">
        <f t="shared" si="34"/>
        <v>0</v>
      </c>
      <c r="E499">
        <f t="shared" si="35"/>
        <v>2.16998191681736E-3</v>
      </c>
      <c r="F499">
        <f t="shared" si="36"/>
        <v>1.6636528028933093E-2</v>
      </c>
      <c r="G499">
        <f t="shared" si="37"/>
        <v>0.11934900542495479</v>
      </c>
      <c r="H499">
        <f t="shared" si="38"/>
        <v>0.86184448462929475</v>
      </c>
      <c r="I499">
        <v>0</v>
      </c>
      <c r="J499">
        <v>6</v>
      </c>
      <c r="K499">
        <v>46</v>
      </c>
      <c r="L499">
        <v>330</v>
      </c>
      <c r="M499">
        <v>2383</v>
      </c>
      <c r="N499">
        <f t="shared" si="31"/>
        <v>30.681735985533454</v>
      </c>
    </row>
    <row r="500" spans="1:14" x14ac:dyDescent="0.3">
      <c r="A500" t="s">
        <v>173</v>
      </c>
      <c r="B500" t="s">
        <v>31</v>
      </c>
      <c r="C500">
        <v>0</v>
      </c>
      <c r="D500">
        <f t="shared" si="34"/>
        <v>2.7560863573725309E-3</v>
      </c>
      <c r="E500">
        <f t="shared" si="35"/>
        <v>5.052824988516307E-3</v>
      </c>
      <c r="F500">
        <f t="shared" si="36"/>
        <v>1.240238860817639E-2</v>
      </c>
      <c r="G500">
        <f t="shared" si="37"/>
        <v>7.165824529168581E-2</v>
      </c>
      <c r="H500">
        <f t="shared" si="38"/>
        <v>0.90813045475424892</v>
      </c>
      <c r="I500">
        <v>6</v>
      </c>
      <c r="J500">
        <v>11</v>
      </c>
      <c r="K500">
        <v>27</v>
      </c>
      <c r="L500">
        <v>156</v>
      </c>
      <c r="M500">
        <v>1977</v>
      </c>
      <c r="N500">
        <f t="shared" si="31"/>
        <v>30.754708314193842</v>
      </c>
    </row>
    <row r="501" spans="1:14" x14ac:dyDescent="0.3">
      <c r="A501" t="s">
        <v>173</v>
      </c>
      <c r="B501" t="s">
        <v>31</v>
      </c>
      <c r="C501">
        <v>0</v>
      </c>
      <c r="D501">
        <f t="shared" si="34"/>
        <v>2.5327142254115659E-3</v>
      </c>
      <c r="E501">
        <f t="shared" si="35"/>
        <v>5.0654284508231317E-3</v>
      </c>
      <c r="F501">
        <f t="shared" si="36"/>
        <v>1.5196285352469396E-2</v>
      </c>
      <c r="G501">
        <f t="shared" si="37"/>
        <v>0.10468552131701139</v>
      </c>
      <c r="H501">
        <f t="shared" si="38"/>
        <v>0.87252005065428451</v>
      </c>
      <c r="I501">
        <v>6</v>
      </c>
      <c r="J501">
        <v>12</v>
      </c>
      <c r="K501">
        <v>36</v>
      </c>
      <c r="L501">
        <v>248</v>
      </c>
      <c r="M501">
        <v>2067</v>
      </c>
      <c r="N501">
        <f t="shared" si="31"/>
        <v>30.679189531447868</v>
      </c>
    </row>
    <row r="502" spans="1:14" x14ac:dyDescent="0.3">
      <c r="A502" t="s">
        <v>173</v>
      </c>
      <c r="B502" t="s">
        <v>31</v>
      </c>
      <c r="C502">
        <v>0</v>
      </c>
      <c r="D502">
        <f t="shared" si="34"/>
        <v>0</v>
      </c>
      <c r="E502">
        <f t="shared" si="35"/>
        <v>2.9411764705882353E-3</v>
      </c>
      <c r="F502">
        <f t="shared" si="36"/>
        <v>1.3025210084033614E-2</v>
      </c>
      <c r="G502">
        <f t="shared" si="37"/>
        <v>8.9495798319327732E-2</v>
      </c>
      <c r="H502">
        <f t="shared" si="38"/>
        <v>0.89453781512605046</v>
      </c>
      <c r="I502">
        <v>0</v>
      </c>
      <c r="J502">
        <v>7</v>
      </c>
      <c r="K502">
        <v>31</v>
      </c>
      <c r="L502">
        <v>213</v>
      </c>
      <c r="M502">
        <v>2129</v>
      </c>
      <c r="N502">
        <f t="shared" si="31"/>
        <v>30.751260504201682</v>
      </c>
    </row>
    <row r="503" spans="1:14" x14ac:dyDescent="0.3">
      <c r="A503" t="s">
        <v>173</v>
      </c>
      <c r="B503" t="s">
        <v>31</v>
      </c>
      <c r="C503">
        <v>0</v>
      </c>
      <c r="D503">
        <f t="shared" si="34"/>
        <v>0</v>
      </c>
      <c r="E503">
        <f t="shared" si="35"/>
        <v>3.8314176245210726E-3</v>
      </c>
      <c r="F503">
        <f t="shared" si="36"/>
        <v>1.319710515112814E-2</v>
      </c>
      <c r="G503">
        <f t="shared" si="37"/>
        <v>0.10217113665389528</v>
      </c>
      <c r="H503">
        <f t="shared" si="38"/>
        <v>0.88080034057045553</v>
      </c>
      <c r="I503">
        <v>0</v>
      </c>
      <c r="J503">
        <v>9</v>
      </c>
      <c r="K503">
        <v>31</v>
      </c>
      <c r="L503">
        <v>240</v>
      </c>
      <c r="M503">
        <v>2069</v>
      </c>
      <c r="N503">
        <f t="shared" si="31"/>
        <v>30.719880800340569</v>
      </c>
    </row>
    <row r="504" spans="1:14" x14ac:dyDescent="0.3">
      <c r="A504" t="s">
        <v>173</v>
      </c>
      <c r="B504" t="s">
        <v>31</v>
      </c>
      <c r="C504">
        <v>0</v>
      </c>
      <c r="D504">
        <f t="shared" si="34"/>
        <v>0</v>
      </c>
      <c r="E504">
        <f t="shared" si="35"/>
        <v>3.5353535353535356E-3</v>
      </c>
      <c r="F504">
        <f t="shared" si="36"/>
        <v>2.1212121212121213E-2</v>
      </c>
      <c r="G504">
        <f t="shared" si="37"/>
        <v>0.14141414141414141</v>
      </c>
      <c r="H504">
        <f t="shared" si="38"/>
        <v>0.83383838383838382</v>
      </c>
      <c r="I504">
        <v>0</v>
      </c>
      <c r="J504">
        <v>7</v>
      </c>
      <c r="K504">
        <v>42</v>
      </c>
      <c r="L504">
        <v>280</v>
      </c>
      <c r="M504">
        <v>1651</v>
      </c>
      <c r="N504">
        <f t="shared" si="31"/>
        <v>30.611111111111111</v>
      </c>
    </row>
    <row r="505" spans="1:14" x14ac:dyDescent="0.3">
      <c r="A505" t="s">
        <v>173</v>
      </c>
      <c r="B505" t="s">
        <v>31</v>
      </c>
      <c r="C505">
        <v>0</v>
      </c>
      <c r="D505">
        <f t="shared" si="34"/>
        <v>1.6638935108153079E-3</v>
      </c>
      <c r="E505">
        <f t="shared" si="35"/>
        <v>4.9916805324459234E-3</v>
      </c>
      <c r="F505">
        <f t="shared" si="36"/>
        <v>2.9534109816971715E-2</v>
      </c>
      <c r="G505">
        <f t="shared" si="37"/>
        <v>0.17429284525790351</v>
      </c>
      <c r="H505">
        <f t="shared" si="38"/>
        <v>0.78951747088186353</v>
      </c>
      <c r="I505">
        <v>4</v>
      </c>
      <c r="J505">
        <v>12</v>
      </c>
      <c r="K505">
        <v>71</v>
      </c>
      <c r="L505">
        <v>419</v>
      </c>
      <c r="M505">
        <v>1898</v>
      </c>
      <c r="N505">
        <f t="shared" si="31"/>
        <v>30.490016638935106</v>
      </c>
    </row>
    <row r="506" spans="1:14" x14ac:dyDescent="0.3">
      <c r="A506" t="s">
        <v>173</v>
      </c>
      <c r="B506" t="s">
        <v>31</v>
      </c>
      <c r="C506">
        <v>0</v>
      </c>
      <c r="D506">
        <f t="shared" si="34"/>
        <v>0</v>
      </c>
      <c r="E506">
        <f t="shared" si="35"/>
        <v>2.16998191681736E-3</v>
      </c>
      <c r="F506">
        <f t="shared" si="36"/>
        <v>1.6636528028933093E-2</v>
      </c>
      <c r="G506">
        <f t="shared" si="37"/>
        <v>0.11934900542495479</v>
      </c>
      <c r="H506">
        <f t="shared" si="38"/>
        <v>0.86184448462929475</v>
      </c>
      <c r="I506">
        <v>0</v>
      </c>
      <c r="J506">
        <v>6</v>
      </c>
      <c r="K506">
        <v>46</v>
      </c>
      <c r="L506">
        <v>330</v>
      </c>
      <c r="M506">
        <v>2383</v>
      </c>
      <c r="N506">
        <f t="shared" si="31"/>
        <v>30.681735985533454</v>
      </c>
    </row>
    <row r="507" spans="1:14" x14ac:dyDescent="0.3">
      <c r="A507" t="s">
        <v>173</v>
      </c>
      <c r="B507" t="s">
        <v>31</v>
      </c>
      <c r="C507">
        <v>0</v>
      </c>
      <c r="D507">
        <f t="shared" si="34"/>
        <v>1.8264840182648401E-3</v>
      </c>
      <c r="E507">
        <f t="shared" si="35"/>
        <v>5.9360730593607308E-3</v>
      </c>
      <c r="F507">
        <f t="shared" si="36"/>
        <v>4.7945205479452052E-2</v>
      </c>
      <c r="G507">
        <f t="shared" si="37"/>
        <v>0.15433789954337901</v>
      </c>
      <c r="H507">
        <f t="shared" si="38"/>
        <v>0.78995433789954339</v>
      </c>
      <c r="I507">
        <v>4</v>
      </c>
      <c r="J507">
        <v>13</v>
      </c>
      <c r="K507">
        <v>105</v>
      </c>
      <c r="L507">
        <v>338</v>
      </c>
      <c r="M507">
        <v>1730</v>
      </c>
      <c r="N507">
        <f t="shared" si="31"/>
        <v>30.449315068493149</v>
      </c>
    </row>
    <row r="508" spans="1:14" x14ac:dyDescent="0.3">
      <c r="A508" t="s">
        <v>102</v>
      </c>
      <c r="B508" t="s">
        <v>18</v>
      </c>
      <c r="C508">
        <v>0</v>
      </c>
      <c r="D508">
        <v>3.700788174989722E-2</v>
      </c>
      <c r="E508">
        <v>8.5336745905124342E-2</v>
      </c>
      <c r="F508">
        <v>0.15077898405829437</v>
      </c>
      <c r="G508">
        <v>0.24874870029004056</v>
      </c>
      <c r="H508">
        <v>0.47812768799664362</v>
      </c>
      <c r="I508">
        <v>2.6374</v>
      </c>
      <c r="J508">
        <v>6.0815999999999999</v>
      </c>
      <c r="K508">
        <v>10.7454</v>
      </c>
      <c r="L508">
        <v>17.7273</v>
      </c>
      <c r="M508">
        <v>34.074199999999998</v>
      </c>
      <c r="N508">
        <f t="shared" si="31"/>
        <v>29.091303133756824</v>
      </c>
    </row>
    <row r="509" spans="1:14" x14ac:dyDescent="0.3">
      <c r="A509" t="s">
        <v>102</v>
      </c>
      <c r="B509" t="s">
        <v>18</v>
      </c>
      <c r="C509">
        <v>0</v>
      </c>
      <c r="D509">
        <v>5.0392715646069362E-2</v>
      </c>
      <c r="E509">
        <v>6.6523018465744529E-2</v>
      </c>
      <c r="F509">
        <v>0.22269641574569635</v>
      </c>
      <c r="G509">
        <v>0.16848775514932463</v>
      </c>
      <c r="H509">
        <v>0.49190009499316506</v>
      </c>
      <c r="I509">
        <v>2.1749999999999998</v>
      </c>
      <c r="J509">
        <v>2.8712</v>
      </c>
      <c r="K509">
        <v>9.6118000000000006</v>
      </c>
      <c r="L509">
        <v>7.2721</v>
      </c>
      <c r="M509">
        <v>21.230899999999998</v>
      </c>
      <c r="N509">
        <f t="shared" si="31"/>
        <v>28.969958990755543</v>
      </c>
    </row>
    <row r="510" spans="1:14" x14ac:dyDescent="0.3">
      <c r="A510" t="s">
        <v>102</v>
      </c>
      <c r="B510" t="s">
        <v>18</v>
      </c>
      <c r="C510">
        <v>0</v>
      </c>
      <c r="D510">
        <v>3.4494823277400929E-2</v>
      </c>
      <c r="E510">
        <v>6.4177079614423427E-2</v>
      </c>
      <c r="F510">
        <v>0.21660835415922883</v>
      </c>
      <c r="G510">
        <v>0.20199214566226351</v>
      </c>
      <c r="H510">
        <v>0.48272759728668335</v>
      </c>
      <c r="I510">
        <v>1.4493</v>
      </c>
      <c r="J510">
        <v>2.6964000000000001</v>
      </c>
      <c r="K510">
        <v>9.1007999999999996</v>
      </c>
      <c r="L510">
        <v>8.4867000000000008</v>
      </c>
      <c r="M510">
        <v>20.2818</v>
      </c>
      <c r="N510">
        <f t="shared" si="31"/>
        <v>29.068561228132811</v>
      </c>
    </row>
    <row r="511" spans="1:14" x14ac:dyDescent="0.3">
      <c r="A511" t="s">
        <v>130</v>
      </c>
      <c r="B511" t="s">
        <v>15</v>
      </c>
      <c r="C511">
        <v>0</v>
      </c>
      <c r="D511">
        <v>0</v>
      </c>
      <c r="E511">
        <v>1.1795158636513958E-2</v>
      </c>
      <c r="F511">
        <v>6.6912722358541787E-2</v>
      </c>
      <c r="G511">
        <v>0.22157668894504984</v>
      </c>
      <c r="H511">
        <v>0.69971543005989445</v>
      </c>
      <c r="I511">
        <v>0</v>
      </c>
      <c r="J511">
        <v>28.89</v>
      </c>
      <c r="K511">
        <v>163.89</v>
      </c>
      <c r="L511">
        <v>542.71</v>
      </c>
      <c r="M511">
        <v>1713.82</v>
      </c>
      <c r="N511">
        <f t="shared" si="31"/>
        <v>30.218424780856651</v>
      </c>
    </row>
    <row r="512" spans="1:14" x14ac:dyDescent="0.3">
      <c r="A512" t="s">
        <v>130</v>
      </c>
      <c r="B512" t="s">
        <v>15</v>
      </c>
      <c r="C512">
        <v>0</v>
      </c>
      <c r="D512">
        <v>5.8456486042692936E-3</v>
      </c>
      <c r="E512">
        <v>3.8095238095238099E-2</v>
      </c>
      <c r="F512">
        <v>7.1649698960043792E-2</v>
      </c>
      <c r="G512">
        <v>0.32488669950738919</v>
      </c>
      <c r="H512">
        <v>0.5595227148330596</v>
      </c>
      <c r="I512">
        <v>13.35</v>
      </c>
      <c r="J512">
        <v>87</v>
      </c>
      <c r="K512">
        <v>163.63</v>
      </c>
      <c r="L512">
        <v>741.96</v>
      </c>
      <c r="M512">
        <v>1277.81</v>
      </c>
      <c r="N512">
        <f t="shared" si="31"/>
        <v>29.788291187739464</v>
      </c>
    </row>
    <row r="513" spans="1:14" x14ac:dyDescent="0.3">
      <c r="A513" t="s">
        <v>103</v>
      </c>
      <c r="B513" t="s">
        <v>15</v>
      </c>
      <c r="C513">
        <v>0</v>
      </c>
      <c r="D513">
        <v>2.748328326388216E-2</v>
      </c>
      <c r="E513">
        <v>4.1379978680104665E-2</v>
      </c>
      <c r="F513">
        <v>0.14909067416093291</v>
      </c>
      <c r="G513">
        <v>0.5004360887682916</v>
      </c>
      <c r="H513">
        <v>0.28160997512678876</v>
      </c>
      <c r="I513">
        <v>42.54</v>
      </c>
      <c r="J513">
        <v>64.05</v>
      </c>
      <c r="K513">
        <v>230.77</v>
      </c>
      <c r="L513">
        <v>774.6</v>
      </c>
      <c r="M513">
        <v>435.89</v>
      </c>
      <c r="N513">
        <f t="shared" si="31"/>
        <v>28.934618987627999</v>
      </c>
    </row>
    <row r="514" spans="1:14" x14ac:dyDescent="0.3">
      <c r="A514" t="s">
        <v>103</v>
      </c>
      <c r="B514" t="s">
        <v>15</v>
      </c>
      <c r="C514">
        <v>0</v>
      </c>
      <c r="D514">
        <v>0.22222222222222221</v>
      </c>
      <c r="E514">
        <v>0.33333333333333331</v>
      </c>
      <c r="F514">
        <v>0.33333333333333331</v>
      </c>
      <c r="G514">
        <v>0</v>
      </c>
      <c r="H514">
        <v>0.1111111111111111</v>
      </c>
      <c r="I514">
        <v>20</v>
      </c>
      <c r="J514">
        <v>30</v>
      </c>
      <c r="K514">
        <v>30</v>
      </c>
      <c r="L514">
        <v>0</v>
      </c>
      <c r="M514">
        <v>10</v>
      </c>
      <c r="N514">
        <f t="shared" si="31"/>
        <v>25.888888888888886</v>
      </c>
    </row>
    <row r="515" spans="1:14" x14ac:dyDescent="0.3">
      <c r="A515" t="s">
        <v>103</v>
      </c>
      <c r="B515" t="s">
        <v>15</v>
      </c>
      <c r="C515">
        <v>0</v>
      </c>
      <c r="D515">
        <v>0.13299187566231013</v>
      </c>
      <c r="E515">
        <v>0.18986223949134579</v>
      </c>
      <c r="F515">
        <v>0.34387142352525607</v>
      </c>
      <c r="G515">
        <v>0.25344401271635464</v>
      </c>
      <c r="H515">
        <v>7.983044860473329E-2</v>
      </c>
      <c r="I515">
        <v>7.53</v>
      </c>
      <c r="J515">
        <v>10.75</v>
      </c>
      <c r="K515">
        <v>19.47</v>
      </c>
      <c r="L515">
        <v>14.35</v>
      </c>
      <c r="M515">
        <v>4.5199999999999996</v>
      </c>
      <c r="N515">
        <f t="shared" si="31"/>
        <v>26.914517838219712</v>
      </c>
    </row>
    <row r="516" spans="1:14" x14ac:dyDescent="0.3">
      <c r="A516" t="s">
        <v>103</v>
      </c>
      <c r="B516" t="s">
        <v>15</v>
      </c>
      <c r="C516">
        <v>0</v>
      </c>
      <c r="D516">
        <v>4.4935405354802468E-3</v>
      </c>
      <c r="E516">
        <v>0.27513574237034261</v>
      </c>
      <c r="F516">
        <v>0.60166635461524054</v>
      </c>
      <c r="G516">
        <v>0.10147912375959557</v>
      </c>
      <c r="H516">
        <v>1.7225238719340948E-2</v>
      </c>
      <c r="I516">
        <v>0.48</v>
      </c>
      <c r="J516">
        <v>29.39</v>
      </c>
      <c r="K516">
        <v>64.27</v>
      </c>
      <c r="L516">
        <v>10.84</v>
      </c>
      <c r="M516">
        <v>1.84</v>
      </c>
      <c r="N516">
        <f t="shared" si="31"/>
        <v>26.70361355551395</v>
      </c>
    </row>
    <row r="517" spans="1:14" x14ac:dyDescent="0.3">
      <c r="A517" t="s">
        <v>103</v>
      </c>
      <c r="B517" t="s">
        <v>15</v>
      </c>
      <c r="C517">
        <v>0</v>
      </c>
      <c r="D517">
        <v>4.2096219931271474E-2</v>
      </c>
      <c r="E517">
        <v>0.25830469644902632</v>
      </c>
      <c r="F517">
        <v>0.59686426116838487</v>
      </c>
      <c r="G517">
        <v>9.3714203894616266E-2</v>
      </c>
      <c r="H517">
        <v>9.0206185567010301E-3</v>
      </c>
      <c r="I517">
        <v>5.88</v>
      </c>
      <c r="J517">
        <v>36.08</v>
      </c>
      <c r="K517">
        <v>83.37</v>
      </c>
      <c r="L517">
        <v>13.09</v>
      </c>
      <c r="M517">
        <v>1.26</v>
      </c>
      <c r="N517">
        <f t="shared" ref="N517:N549" si="39">(D517*23+E517*25+F517*27+G517*29+H517*31)/SUM(D517:H517)</f>
        <v>26.538516609392904</v>
      </c>
    </row>
    <row r="518" spans="1:14" x14ac:dyDescent="0.3">
      <c r="A518" t="s">
        <v>103</v>
      </c>
      <c r="B518" t="s">
        <v>15</v>
      </c>
      <c r="C518">
        <v>0</v>
      </c>
      <c r="D518">
        <v>6.3118389628113281E-2</v>
      </c>
      <c r="E518">
        <v>0.18901398839986353</v>
      </c>
      <c r="F518">
        <v>0.50972364380757418</v>
      </c>
      <c r="G518">
        <v>0.20027294438758103</v>
      </c>
      <c r="H518">
        <v>3.7871033776867971E-2</v>
      </c>
      <c r="I518">
        <v>1.85</v>
      </c>
      <c r="J518">
        <v>5.54</v>
      </c>
      <c r="K518">
        <v>14.94</v>
      </c>
      <c r="L518">
        <v>5.87</v>
      </c>
      <c r="M518">
        <v>1.1100000000000001</v>
      </c>
      <c r="N518">
        <f t="shared" si="39"/>
        <v>26.921528488570452</v>
      </c>
    </row>
    <row r="519" spans="1:14" x14ac:dyDescent="0.3">
      <c r="A519" t="s">
        <v>103</v>
      </c>
      <c r="B519" t="s">
        <v>15</v>
      </c>
      <c r="C519">
        <v>0</v>
      </c>
      <c r="D519">
        <v>5.6482670089858793E-2</v>
      </c>
      <c r="E519">
        <v>0.18677792041078306</v>
      </c>
      <c r="F519">
        <v>0.56653829696191693</v>
      </c>
      <c r="G519">
        <v>0.16795036371416344</v>
      </c>
      <c r="H519">
        <v>2.2250748823277707E-2</v>
      </c>
      <c r="I519">
        <v>2.64</v>
      </c>
      <c r="J519">
        <v>8.73</v>
      </c>
      <c r="K519">
        <v>26.48</v>
      </c>
      <c r="L519">
        <v>7.85</v>
      </c>
      <c r="M519">
        <v>1.04</v>
      </c>
      <c r="N519">
        <f t="shared" si="39"/>
        <v>26.825417201540436</v>
      </c>
    </row>
    <row r="520" spans="1:14" x14ac:dyDescent="0.3">
      <c r="A520" t="s">
        <v>103</v>
      </c>
      <c r="B520" t="s">
        <v>15</v>
      </c>
      <c r="C520">
        <v>0</v>
      </c>
      <c r="D520">
        <v>0.10856415154409424</v>
      </c>
      <c r="E520">
        <v>0.28812480101878385</v>
      </c>
      <c r="F520">
        <v>0.52180834129258202</v>
      </c>
      <c r="G520">
        <v>5.1894301177968796E-2</v>
      </c>
      <c r="H520">
        <v>2.9608404966571158E-2</v>
      </c>
      <c r="I520">
        <v>3.41</v>
      </c>
      <c r="J520">
        <v>9.0500000000000007</v>
      </c>
      <c r="K520">
        <v>16.39</v>
      </c>
      <c r="L520">
        <v>1.63</v>
      </c>
      <c r="M520">
        <v>0.93</v>
      </c>
      <c r="N520">
        <f t="shared" si="39"/>
        <v>26.211716014008282</v>
      </c>
    </row>
    <row r="521" spans="1:14" x14ac:dyDescent="0.3">
      <c r="A521" t="s">
        <v>103</v>
      </c>
      <c r="B521" t="s">
        <v>15</v>
      </c>
      <c r="C521">
        <v>0</v>
      </c>
      <c r="D521">
        <v>0.14378406436542954</v>
      </c>
      <c r="E521">
        <v>0.4832597975603426</v>
      </c>
      <c r="F521">
        <v>0.32001038152089278</v>
      </c>
      <c r="G521">
        <v>3.3999480923955362E-2</v>
      </c>
      <c r="H521">
        <v>1.8946275629379703E-2</v>
      </c>
      <c r="I521">
        <v>5.54</v>
      </c>
      <c r="J521">
        <v>18.62</v>
      </c>
      <c r="K521">
        <v>12.33</v>
      </c>
      <c r="L521">
        <v>1.31</v>
      </c>
      <c r="M521">
        <v>0.73</v>
      </c>
      <c r="N521">
        <f t="shared" si="39"/>
        <v>25.602128211783029</v>
      </c>
    </row>
    <row r="522" spans="1:14" x14ac:dyDescent="0.3">
      <c r="A522" t="s">
        <v>103</v>
      </c>
      <c r="B522" t="s">
        <v>15</v>
      </c>
      <c r="C522">
        <v>0</v>
      </c>
      <c r="D522">
        <v>5.688106686020139E-2</v>
      </c>
      <c r="E522">
        <v>0.24240224984124104</v>
      </c>
      <c r="F522">
        <v>0.5844144062414951</v>
      </c>
      <c r="G522">
        <v>0.11067767395445885</v>
      </c>
      <c r="H522">
        <v>5.6246031026036467E-3</v>
      </c>
      <c r="I522">
        <v>6.27</v>
      </c>
      <c r="J522">
        <v>26.72</v>
      </c>
      <c r="K522">
        <v>64.42</v>
      </c>
      <c r="L522">
        <v>12.2</v>
      </c>
      <c r="M522">
        <v>0.62</v>
      </c>
      <c r="N522">
        <f t="shared" si="39"/>
        <v>26.531524993196051</v>
      </c>
    </row>
    <row r="523" spans="1:14" x14ac:dyDescent="0.3">
      <c r="A523" t="s">
        <v>103</v>
      </c>
      <c r="B523" t="s">
        <v>15</v>
      </c>
      <c r="C523">
        <v>0</v>
      </c>
      <c r="D523">
        <v>0.12653829448385698</v>
      </c>
      <c r="E523">
        <v>0.31098885188938763</v>
      </c>
      <c r="F523">
        <v>0.50369190676125675</v>
      </c>
      <c r="G523">
        <v>5.0673230056464465E-2</v>
      </c>
      <c r="H523">
        <v>8.1077168090343144E-3</v>
      </c>
      <c r="I523">
        <v>8.74</v>
      </c>
      <c r="J523">
        <v>21.48</v>
      </c>
      <c r="K523">
        <v>34.79</v>
      </c>
      <c r="L523">
        <v>3.5</v>
      </c>
      <c r="M523">
        <v>0.56000000000000005</v>
      </c>
      <c r="N523">
        <f t="shared" si="39"/>
        <v>26.005646445634856</v>
      </c>
    </row>
    <row r="524" spans="1:14" x14ac:dyDescent="0.3">
      <c r="A524" t="s">
        <v>103</v>
      </c>
      <c r="B524" t="s">
        <v>15</v>
      </c>
      <c r="C524">
        <v>0</v>
      </c>
      <c r="D524">
        <v>0.16411378555798689</v>
      </c>
      <c r="E524">
        <v>0.29853079087214757</v>
      </c>
      <c r="F524">
        <v>0.48890278211941235</v>
      </c>
      <c r="G524">
        <v>3.8136917786808382E-2</v>
      </c>
      <c r="H524">
        <v>1.031572366364489E-2</v>
      </c>
      <c r="I524">
        <v>5.25</v>
      </c>
      <c r="J524">
        <v>9.5500000000000007</v>
      </c>
      <c r="K524">
        <v>15.64</v>
      </c>
      <c r="L524">
        <v>1.22</v>
      </c>
      <c r="M524">
        <v>0.33</v>
      </c>
      <c r="N524">
        <f t="shared" si="39"/>
        <v>25.864020006251948</v>
      </c>
    </row>
    <row r="525" spans="1:14" x14ac:dyDescent="0.3">
      <c r="A525" t="s">
        <v>103</v>
      </c>
      <c r="B525" t="s">
        <v>15</v>
      </c>
      <c r="C525">
        <v>0</v>
      </c>
      <c r="D525">
        <v>9.8170001710278787E-2</v>
      </c>
      <c r="E525">
        <v>0.34838378655720886</v>
      </c>
      <c r="F525">
        <v>0.52043783136651278</v>
      </c>
      <c r="G525">
        <v>2.8048571917222508E-2</v>
      </c>
      <c r="H525">
        <v>4.9598084487771504E-3</v>
      </c>
      <c r="I525">
        <v>5.74</v>
      </c>
      <c r="J525">
        <v>20.37</v>
      </c>
      <c r="K525">
        <v>30.43</v>
      </c>
      <c r="L525">
        <v>1.64</v>
      </c>
      <c r="M525">
        <v>0.28999999999999998</v>
      </c>
      <c r="N525">
        <f t="shared" si="39"/>
        <v>25.986488797674017</v>
      </c>
    </row>
    <row r="526" spans="1:14" x14ac:dyDescent="0.3">
      <c r="A526" t="s">
        <v>103</v>
      </c>
      <c r="B526" t="s">
        <v>15</v>
      </c>
      <c r="C526">
        <v>0</v>
      </c>
      <c r="D526">
        <v>0.10794954532120855</v>
      </c>
      <c r="E526">
        <v>0.32590202405397473</v>
      </c>
      <c r="F526">
        <v>0.53417424464652385</v>
      </c>
      <c r="G526">
        <v>2.610736286300968E-2</v>
      </c>
      <c r="H526">
        <v>5.8668231152830741E-3</v>
      </c>
      <c r="I526">
        <v>3.68</v>
      </c>
      <c r="J526">
        <v>11.11</v>
      </c>
      <c r="K526">
        <v>18.21</v>
      </c>
      <c r="L526">
        <v>0.89</v>
      </c>
      <c r="M526">
        <v>0.2</v>
      </c>
      <c r="N526">
        <f t="shared" si="39"/>
        <v>25.992079788794371</v>
      </c>
    </row>
    <row r="527" spans="1:14" x14ac:dyDescent="0.3">
      <c r="A527" t="s">
        <v>103</v>
      </c>
      <c r="B527" t="s">
        <v>15</v>
      </c>
      <c r="C527">
        <v>0</v>
      </c>
      <c r="D527">
        <v>0.14340044742729308</v>
      </c>
      <c r="E527">
        <v>0.27785234899328859</v>
      </c>
      <c r="F527">
        <v>0.53445190156599554</v>
      </c>
      <c r="G527">
        <v>4.429530201342282E-2</v>
      </c>
      <c r="H527">
        <v>0</v>
      </c>
      <c r="I527">
        <v>6.41</v>
      </c>
      <c r="J527">
        <v>12.42</v>
      </c>
      <c r="K527">
        <v>23.89</v>
      </c>
      <c r="L527">
        <v>1.98</v>
      </c>
      <c r="M527">
        <v>0</v>
      </c>
      <c r="N527">
        <f t="shared" si="39"/>
        <v>25.959284116331098</v>
      </c>
    </row>
    <row r="528" spans="1:14" x14ac:dyDescent="0.3">
      <c r="A528" t="s">
        <v>103</v>
      </c>
      <c r="B528" t="s">
        <v>15</v>
      </c>
      <c r="C528">
        <v>0</v>
      </c>
      <c r="D528">
        <v>0.13186446336170923</v>
      </c>
      <c r="E528">
        <v>0.40794525121014857</v>
      </c>
      <c r="F528">
        <v>0.43331664162911032</v>
      </c>
      <c r="G528">
        <v>2.6873643799031881E-2</v>
      </c>
      <c r="H528">
        <v>0</v>
      </c>
      <c r="I528">
        <v>7.9</v>
      </c>
      <c r="J528">
        <v>24.44</v>
      </c>
      <c r="K528">
        <v>25.96</v>
      </c>
      <c r="L528">
        <v>1.61</v>
      </c>
      <c r="M528">
        <v>0</v>
      </c>
      <c r="N528">
        <f t="shared" si="39"/>
        <v>25.710398931730928</v>
      </c>
    </row>
    <row r="529" spans="1:14" x14ac:dyDescent="0.3">
      <c r="A529" t="s">
        <v>103</v>
      </c>
      <c r="B529" t="s">
        <v>15</v>
      </c>
      <c r="C529">
        <v>0</v>
      </c>
      <c r="D529">
        <v>0.4</v>
      </c>
      <c r="E529">
        <v>0.6</v>
      </c>
      <c r="F529">
        <v>0</v>
      </c>
      <c r="G529">
        <v>0</v>
      </c>
      <c r="H529">
        <v>0</v>
      </c>
      <c r="I529">
        <v>40</v>
      </c>
      <c r="J529">
        <v>60</v>
      </c>
      <c r="K529">
        <v>0</v>
      </c>
      <c r="L529">
        <v>0</v>
      </c>
      <c r="M529">
        <v>0</v>
      </c>
      <c r="N529">
        <f t="shared" si="39"/>
        <v>24.200000000000003</v>
      </c>
    </row>
    <row r="530" spans="1:14" x14ac:dyDescent="0.3">
      <c r="A530" t="s">
        <v>104</v>
      </c>
      <c r="B530" t="s">
        <v>15</v>
      </c>
      <c r="C530">
        <v>0</v>
      </c>
      <c r="D530">
        <v>0</v>
      </c>
      <c r="E530">
        <v>1.6944205119513382E-2</v>
      </c>
      <c r="F530">
        <v>7.0813500750931013E-2</v>
      </c>
      <c r="G530">
        <v>0.34820129659185611</v>
      </c>
      <c r="H530">
        <v>0.56404099753769965</v>
      </c>
      <c r="I530">
        <v>0</v>
      </c>
      <c r="J530">
        <v>35.99</v>
      </c>
      <c r="K530">
        <v>150.41</v>
      </c>
      <c r="L530">
        <v>739.59</v>
      </c>
      <c r="M530">
        <v>1198.04</v>
      </c>
      <c r="N530">
        <f t="shared" si="39"/>
        <v>29.918678173095479</v>
      </c>
    </row>
    <row r="531" spans="1:14" x14ac:dyDescent="0.3">
      <c r="A531" t="s">
        <v>104</v>
      </c>
      <c r="B531" t="s">
        <v>15</v>
      </c>
      <c r="C531">
        <v>0</v>
      </c>
      <c r="D531">
        <v>5.8509174644093328E-3</v>
      </c>
      <c r="E531">
        <v>4.5257715535344467E-2</v>
      </c>
      <c r="F531">
        <v>8.0812176859911072E-2</v>
      </c>
      <c r="G531">
        <v>0.55379513099393185</v>
      </c>
      <c r="H531">
        <v>0.31428405914640328</v>
      </c>
      <c r="I531">
        <v>4.04</v>
      </c>
      <c r="J531">
        <v>31.25</v>
      </c>
      <c r="K531">
        <v>55.8</v>
      </c>
      <c r="L531">
        <v>382.39</v>
      </c>
      <c r="M531">
        <v>217.01</v>
      </c>
      <c r="N531">
        <f t="shared" si="39"/>
        <v>29.250807397645151</v>
      </c>
    </row>
    <row r="532" spans="1:14" x14ac:dyDescent="0.3">
      <c r="A532" t="s">
        <v>104</v>
      </c>
      <c r="B532" t="s">
        <v>15</v>
      </c>
      <c r="C532">
        <v>0</v>
      </c>
      <c r="D532">
        <v>1.1606680038764059E-2</v>
      </c>
      <c r="E532">
        <v>2.2649929007685202E-2</v>
      </c>
      <c r="F532">
        <v>7.0428883730364433E-2</v>
      </c>
      <c r="G532">
        <v>0.59243650131842873</v>
      </c>
      <c r="H532">
        <v>0.30287800590475761</v>
      </c>
      <c r="I532">
        <v>5.15</v>
      </c>
      <c r="J532">
        <v>10.050000000000001</v>
      </c>
      <c r="K532">
        <v>31.25</v>
      </c>
      <c r="L532">
        <v>262.87</v>
      </c>
      <c r="M532">
        <v>134.38999999999999</v>
      </c>
      <c r="N532">
        <f t="shared" si="39"/>
        <v>29.304658448085462</v>
      </c>
    </row>
    <row r="533" spans="1:14" x14ac:dyDescent="0.3">
      <c r="A533" t="s">
        <v>104</v>
      </c>
      <c r="B533" t="s">
        <v>15</v>
      </c>
      <c r="C533">
        <v>0</v>
      </c>
      <c r="D533">
        <v>6.7813481817899039E-3</v>
      </c>
      <c r="E533">
        <v>2.4574610383550567E-2</v>
      </c>
      <c r="F533">
        <v>7.0053193143994774E-2</v>
      </c>
      <c r="G533">
        <v>0.55090677201605132</v>
      </c>
      <c r="H533">
        <v>0.34768407627461351</v>
      </c>
      <c r="I533">
        <v>2.1800000000000002</v>
      </c>
      <c r="J533">
        <v>7.9</v>
      </c>
      <c r="K533">
        <v>22.52</v>
      </c>
      <c r="L533">
        <v>177.1</v>
      </c>
      <c r="M533">
        <v>111.77</v>
      </c>
      <c r="N533">
        <f t="shared" si="39"/>
        <v>29.416275235636299</v>
      </c>
    </row>
    <row r="534" spans="1:14" x14ac:dyDescent="0.3">
      <c r="A534" t="s">
        <v>104</v>
      </c>
      <c r="B534" t="s">
        <v>15</v>
      </c>
      <c r="C534">
        <v>0</v>
      </c>
      <c r="D534">
        <v>2.0051675825175586E-2</v>
      </c>
      <c r="E534">
        <v>3.5663597656392154E-2</v>
      </c>
      <c r="F534">
        <v>6.4303650060045861E-2</v>
      </c>
      <c r="G534">
        <v>0.52403653699188468</v>
      </c>
      <c r="H534">
        <v>0.35594453946650167</v>
      </c>
      <c r="I534">
        <v>5.51</v>
      </c>
      <c r="J534">
        <v>9.8000000000000007</v>
      </c>
      <c r="K534">
        <v>17.670000000000002</v>
      </c>
      <c r="L534">
        <v>144</v>
      </c>
      <c r="M534">
        <v>97.81</v>
      </c>
      <c r="N534">
        <f t="shared" si="39"/>
        <v>29.320317333236289</v>
      </c>
    </row>
    <row r="535" spans="1:14" x14ac:dyDescent="0.3">
      <c r="A535" t="s">
        <v>104</v>
      </c>
      <c r="B535" t="s">
        <v>15</v>
      </c>
      <c r="C535">
        <v>0</v>
      </c>
      <c r="D535">
        <v>0</v>
      </c>
      <c r="E535">
        <v>9.0909090909090912E-2</v>
      </c>
      <c r="F535">
        <v>0.45454545454545453</v>
      </c>
      <c r="G535">
        <v>0.36363636363636365</v>
      </c>
      <c r="H535">
        <v>9.0909090909090912E-2</v>
      </c>
      <c r="I535">
        <v>0</v>
      </c>
      <c r="J535">
        <v>10</v>
      </c>
      <c r="K535">
        <v>50</v>
      </c>
      <c r="L535">
        <v>40</v>
      </c>
      <c r="M535">
        <v>10</v>
      </c>
      <c r="N535">
        <f t="shared" si="39"/>
        <v>27.909090909090907</v>
      </c>
    </row>
    <row r="536" spans="1:14" x14ac:dyDescent="0.3">
      <c r="A536" t="s">
        <v>104</v>
      </c>
      <c r="B536" t="s">
        <v>15</v>
      </c>
      <c r="C536">
        <v>0</v>
      </c>
      <c r="D536">
        <v>0.16075198552327336</v>
      </c>
      <c r="E536">
        <v>0.34060520760028151</v>
      </c>
      <c r="F536">
        <v>0.44405348346235046</v>
      </c>
      <c r="G536">
        <v>3.3678496028953453E-2</v>
      </c>
      <c r="H536">
        <v>2.0910827385141249E-2</v>
      </c>
      <c r="I536">
        <v>15.99</v>
      </c>
      <c r="J536">
        <v>33.880000000000003</v>
      </c>
      <c r="K536">
        <v>44.17</v>
      </c>
      <c r="L536">
        <v>3.35</v>
      </c>
      <c r="M536">
        <v>2.08</v>
      </c>
      <c r="N536">
        <f t="shared" si="39"/>
        <v>25.826781944304816</v>
      </c>
    </row>
    <row r="537" spans="1:14" x14ac:dyDescent="0.3">
      <c r="A537" t="s">
        <v>104</v>
      </c>
      <c r="B537" t="s">
        <v>15</v>
      </c>
      <c r="C537">
        <v>0</v>
      </c>
      <c r="D537">
        <v>0</v>
      </c>
      <c r="E537">
        <v>0.1</v>
      </c>
      <c r="F537">
        <v>0.5</v>
      </c>
      <c r="G537">
        <v>0.4</v>
      </c>
      <c r="H537">
        <v>0</v>
      </c>
      <c r="I537">
        <v>0</v>
      </c>
      <c r="J537">
        <v>10</v>
      </c>
      <c r="K537">
        <v>50</v>
      </c>
      <c r="L537">
        <v>40</v>
      </c>
      <c r="M537">
        <v>0</v>
      </c>
      <c r="N537">
        <f t="shared" si="39"/>
        <v>27.6</v>
      </c>
    </row>
    <row r="538" spans="1:14" x14ac:dyDescent="0.3">
      <c r="A538" t="s">
        <v>104</v>
      </c>
      <c r="B538" t="s">
        <v>15</v>
      </c>
      <c r="C538">
        <v>0</v>
      </c>
      <c r="D538">
        <v>0</v>
      </c>
      <c r="E538">
        <v>0</v>
      </c>
      <c r="F538">
        <v>0.6</v>
      </c>
      <c r="G538">
        <v>0.4</v>
      </c>
      <c r="H538">
        <v>0</v>
      </c>
      <c r="I538">
        <v>0</v>
      </c>
      <c r="J538">
        <v>0</v>
      </c>
      <c r="K538">
        <v>60</v>
      </c>
      <c r="L538">
        <v>40</v>
      </c>
      <c r="M538">
        <v>0</v>
      </c>
      <c r="N538">
        <f t="shared" si="39"/>
        <v>27.8</v>
      </c>
    </row>
    <row r="539" spans="1:14" x14ac:dyDescent="0.3">
      <c r="A539" t="s">
        <v>146</v>
      </c>
      <c r="B539" t="s">
        <v>18</v>
      </c>
      <c r="C539" t="s">
        <v>149</v>
      </c>
      <c r="D539">
        <v>0.12218045112781954</v>
      </c>
      <c r="E539">
        <v>0.25578368999421636</v>
      </c>
      <c r="F539">
        <v>0.45495951417004049</v>
      </c>
      <c r="G539">
        <v>0.13635049161364951</v>
      </c>
      <c r="H539">
        <v>3.0725853094274148E-2</v>
      </c>
      <c r="I539">
        <v>16.899999999999999</v>
      </c>
      <c r="J539">
        <v>35.380000000000003</v>
      </c>
      <c r="K539">
        <v>62.93</v>
      </c>
      <c r="L539">
        <v>18.86</v>
      </c>
      <c r="M539">
        <v>4.25</v>
      </c>
      <c r="N539">
        <f t="shared" si="39"/>
        <v>26.395315211104677</v>
      </c>
    </row>
    <row r="540" spans="1:14" x14ac:dyDescent="0.3">
      <c r="A540" t="s">
        <v>146</v>
      </c>
      <c r="B540" t="s">
        <v>149</v>
      </c>
      <c r="C540">
        <v>0</v>
      </c>
      <c r="D540">
        <f>I540/SUM($I540:$M540)</f>
        <v>0.28663649256896945</v>
      </c>
      <c r="E540">
        <f>J540/SUM($I540:$M540)</f>
        <v>0.3534986949307164</v>
      </c>
      <c r="F540">
        <f>K540/SUM($I540:$M540)</f>
        <v>0.26367417284201961</v>
      </c>
      <c r="G540">
        <f>L540/SUM($I540:$M540)</f>
        <v>8.4025128664625887E-2</v>
      </c>
      <c r="H540">
        <f>M540/SUM($I540:$M540)</f>
        <v>1.2165510993668445E-2</v>
      </c>
      <c r="I540">
        <v>4.633435215952959</v>
      </c>
      <c r="J540">
        <v>5.7142525266258071</v>
      </c>
      <c r="K540">
        <v>4.2622528172665097</v>
      </c>
      <c r="L540">
        <v>1.3582533985479117</v>
      </c>
      <c r="M540">
        <v>0.19665363106047343</v>
      </c>
      <c r="N540">
        <f t="shared" si="39"/>
        <v>25.363168941166617</v>
      </c>
    </row>
    <row r="541" spans="1:14" x14ac:dyDescent="0.3">
      <c r="A541" t="s">
        <v>105</v>
      </c>
      <c r="B541" t="s">
        <v>47</v>
      </c>
      <c r="C541">
        <v>0</v>
      </c>
      <c r="D541">
        <v>5.6603773584905662E-2</v>
      </c>
      <c r="E541">
        <v>0.28301886792452829</v>
      </c>
      <c r="F541">
        <v>0.26415094339622641</v>
      </c>
      <c r="G541">
        <v>9.4339622641509441E-2</v>
      </c>
      <c r="H541">
        <v>0.30188679245283018</v>
      </c>
      <c r="I541">
        <v>3</v>
      </c>
      <c r="J541">
        <v>15</v>
      </c>
      <c r="K541">
        <v>14</v>
      </c>
      <c r="L541">
        <v>5</v>
      </c>
      <c r="M541">
        <v>16</v>
      </c>
      <c r="N541">
        <f t="shared" si="39"/>
        <v>27.60377358490566</v>
      </c>
    </row>
    <row r="542" spans="1:14" x14ac:dyDescent="0.3">
      <c r="A542" t="s">
        <v>28</v>
      </c>
      <c r="B542" t="s">
        <v>16</v>
      </c>
      <c r="C542">
        <v>0</v>
      </c>
      <c r="D542">
        <v>0.19735158870103378</v>
      </c>
      <c r="E542">
        <v>0.26107250285240124</v>
      </c>
      <c r="F542">
        <v>0.44343601977664837</v>
      </c>
      <c r="G542">
        <v>5.5267434221899524E-2</v>
      </c>
      <c r="H542">
        <v>4.2872454448017155E-2</v>
      </c>
      <c r="I542">
        <v>2431.6079999999997</v>
      </c>
      <c r="J542">
        <v>3216.7260000000001</v>
      </c>
      <c r="K542">
        <v>5463.6629999999996</v>
      </c>
      <c r="L542">
        <v>680.9609999999999</v>
      </c>
      <c r="M542">
        <v>528.24</v>
      </c>
      <c r="N542">
        <f t="shared" si="39"/>
        <v>25.970473325726932</v>
      </c>
    </row>
    <row r="543" spans="1:14" x14ac:dyDescent="0.3">
      <c r="A543" t="s">
        <v>27</v>
      </c>
      <c r="B543" t="s">
        <v>15</v>
      </c>
      <c r="D543">
        <v>0.20725257055811788</v>
      </c>
      <c r="E543">
        <v>0.23285236745229129</v>
      </c>
      <c r="F543">
        <v>0.3574239410993103</v>
      </c>
      <c r="G543">
        <v>7.27372741505522E-2</v>
      </c>
      <c r="H543">
        <v>0.12973384673972835</v>
      </c>
      <c r="I543">
        <v>1043.2739999999999</v>
      </c>
      <c r="J543">
        <v>1172.1389999999999</v>
      </c>
      <c r="K543">
        <v>1799.211</v>
      </c>
      <c r="L543">
        <v>366.14699999999999</v>
      </c>
      <c r="M543">
        <v>653.05799999999999</v>
      </c>
      <c r="N543">
        <f t="shared" si="39"/>
        <v>26.369694918122967</v>
      </c>
    </row>
    <row r="544" spans="1:14" x14ac:dyDescent="0.3">
      <c r="A544" t="s">
        <v>191</v>
      </c>
      <c r="B544" t="s">
        <v>34</v>
      </c>
      <c r="D544">
        <v>2.2504892367906062E-2</v>
      </c>
      <c r="E544">
        <v>0.24168297455968688</v>
      </c>
      <c r="F544">
        <v>0.42759295499021527</v>
      </c>
      <c r="G544">
        <v>0.21428571428571425</v>
      </c>
      <c r="H544">
        <v>9.3933463796477476E-2</v>
      </c>
      <c r="I544">
        <v>4.8989999999999991</v>
      </c>
      <c r="J544">
        <v>52.610999999999997</v>
      </c>
      <c r="K544">
        <v>93.081000000000003</v>
      </c>
      <c r="L544">
        <v>46.646999999999991</v>
      </c>
      <c r="M544">
        <v>20.447999999999997</v>
      </c>
      <c r="N544">
        <f t="shared" si="39"/>
        <v>27.230919765166337</v>
      </c>
    </row>
    <row r="545" spans="1:14" x14ac:dyDescent="0.3">
      <c r="A545" t="s">
        <v>192</v>
      </c>
      <c r="B545" t="s">
        <v>31</v>
      </c>
      <c r="D545">
        <v>0.14153846153846153</v>
      </c>
      <c r="E545">
        <v>0.13461538461538461</v>
      </c>
      <c r="F545">
        <v>0.44769230769230772</v>
      </c>
      <c r="G545">
        <v>0.20846153846153848</v>
      </c>
      <c r="H545">
        <v>6.7692307692307691E-2</v>
      </c>
      <c r="I545">
        <v>39.191999999999993</v>
      </c>
      <c r="J545">
        <v>37.274999999999999</v>
      </c>
      <c r="K545">
        <v>123.96599999999999</v>
      </c>
      <c r="L545">
        <v>57.722999999999999</v>
      </c>
      <c r="M545">
        <v>18.744</v>
      </c>
      <c r="N545">
        <f t="shared" si="39"/>
        <v>26.852307692307694</v>
      </c>
    </row>
    <row r="546" spans="1:14" x14ac:dyDescent="0.3">
      <c r="A546" t="s">
        <v>193</v>
      </c>
      <c r="B546" t="s">
        <v>31</v>
      </c>
      <c r="D546">
        <v>4.9446202531645576E-2</v>
      </c>
      <c r="E546">
        <v>0.12579113924050633</v>
      </c>
      <c r="F546">
        <v>0.26305379746835444</v>
      </c>
      <c r="G546">
        <v>0.40110759493670889</v>
      </c>
      <c r="H546">
        <v>0.16060126582278481</v>
      </c>
      <c r="I546">
        <v>26.625</v>
      </c>
      <c r="J546">
        <v>67.733999999999995</v>
      </c>
      <c r="K546">
        <v>141.64499999999998</v>
      </c>
      <c r="L546">
        <v>215.982</v>
      </c>
      <c r="M546">
        <v>86.477999999999994</v>
      </c>
      <c r="N546">
        <f t="shared" si="39"/>
        <v>27.995253164556964</v>
      </c>
    </row>
    <row r="547" spans="1:14" x14ac:dyDescent="0.3">
      <c r="A547" t="s">
        <v>194</v>
      </c>
      <c r="B547" t="s">
        <v>15</v>
      </c>
      <c r="D547">
        <v>4.5522018802572985E-2</v>
      </c>
      <c r="E547">
        <v>0.21227115289460666</v>
      </c>
      <c r="F547">
        <v>0.62840178129638802</v>
      </c>
      <c r="G547">
        <v>7.7684314695695214E-2</v>
      </c>
      <c r="H547">
        <v>3.6120732310737265E-2</v>
      </c>
      <c r="I547">
        <v>19.595999999999997</v>
      </c>
      <c r="J547">
        <v>91.376999999999995</v>
      </c>
      <c r="K547">
        <v>270.51</v>
      </c>
      <c r="L547">
        <v>33.440999999999995</v>
      </c>
      <c r="M547">
        <v>15.548999999999999</v>
      </c>
      <c r="N547">
        <f t="shared" si="39"/>
        <v>26.693221177634829</v>
      </c>
    </row>
    <row r="548" spans="1:14" x14ac:dyDescent="0.3">
      <c r="A548" t="s">
        <v>89</v>
      </c>
      <c r="B548" t="s">
        <v>15</v>
      </c>
      <c r="D548">
        <v>3.6576671522891421E-3</v>
      </c>
      <c r="E548">
        <v>1.2677846315985246E-2</v>
      </c>
      <c r="F548">
        <v>3.171011437959146E-2</v>
      </c>
      <c r="G548">
        <v>0.44883915563683707</v>
      </c>
      <c r="H548">
        <v>0.50311521651529711</v>
      </c>
      <c r="I548">
        <v>25.134</v>
      </c>
      <c r="J548">
        <v>87.11699999999999</v>
      </c>
      <c r="K548">
        <v>217.89899999999997</v>
      </c>
      <c r="L548">
        <v>3084.24</v>
      </c>
      <c r="M548">
        <v>3457.2029999999995</v>
      </c>
      <c r="N548">
        <f t="shared" si="39"/>
        <v>29.870152816093736</v>
      </c>
    </row>
    <row r="549" spans="1:14" x14ac:dyDescent="0.3">
      <c r="A549" t="s">
        <v>53</v>
      </c>
      <c r="B549" t="s">
        <v>15</v>
      </c>
      <c r="D549">
        <v>2.7767065175472424E-3</v>
      </c>
      <c r="E549">
        <v>9.3713844967219431E-3</v>
      </c>
      <c r="F549">
        <v>6.0316236020053988E-2</v>
      </c>
      <c r="G549">
        <v>0.32888546085615111</v>
      </c>
      <c r="H549">
        <v>0.59865021210952563</v>
      </c>
      <c r="I549">
        <v>15.336</v>
      </c>
      <c r="J549">
        <v>51.759</v>
      </c>
      <c r="K549">
        <v>333.13200000000001</v>
      </c>
      <c r="L549">
        <v>1816.4639999999997</v>
      </c>
      <c r="M549">
        <v>3306.3989999999999</v>
      </c>
      <c r="N549">
        <f t="shared" si="39"/>
        <v>30.022522175086774</v>
      </c>
    </row>
  </sheetData>
  <sortState xmlns:xlrd2="http://schemas.microsoft.com/office/spreadsheetml/2017/richdata2" ref="A2:N541">
    <sortCondition ref="A287:A5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Novak</dc:creator>
  <cp:lastModifiedBy>Joseph</cp:lastModifiedBy>
  <dcterms:created xsi:type="dcterms:W3CDTF">2026-08-03T18:52:25Z</dcterms:created>
  <dcterms:modified xsi:type="dcterms:W3CDTF">2026-09-03T01:08:14Z</dcterms:modified>
</cp:coreProperties>
</file>